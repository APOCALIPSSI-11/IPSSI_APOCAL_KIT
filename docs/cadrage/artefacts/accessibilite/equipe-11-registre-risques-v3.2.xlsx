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DB5908B1247E7FC265237B627D7042C3BBEF2FCE" xr6:coauthVersionLast="47" xr6:coauthVersionMax="47" xr10:uidLastSave="{7068FF88-D9E1-4BCE-B325-2CFE2C4BABDB}"/>
  <bookViews>
    <workbookView xWindow="0" yWindow="0" windowWidth="16384" windowHeight="8192" tabRatio="500" activeTab="1" xr2:uid="{00000000-000D-0000-FFFF-FFFF00000000}"/>
  </bookViews>
  <sheets>
    <sheet name="📘 Instructions" sheetId="1" r:id="rId1"/>
    <sheet name="🚨 Registre des Risques" sheetId="2" r:id="rId2"/>
    <sheet name="📋 Impact Backlog" sheetId="3" r:id="rId3"/>
  </sheets>
  <definedNames>
    <definedName name="_xlnm._FilterDatabase" localSheetId="1" hidden="1">'🚨 Registre des Risques'!$B$3:$J$3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G24" i="2"/>
  <c r="G23" i="2"/>
  <c r="G22" i="2"/>
  <c r="G21" i="2"/>
  <c r="G20" i="2"/>
  <c r="G19" i="2"/>
  <c r="G18" i="2"/>
  <c r="G17" i="2"/>
  <c r="G16" i="2"/>
  <c r="G15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<sst xmlns="http://schemas.openxmlformats.org/spreadsheetml/2006/main" count="175" uniqueCount="136">
  <si>
    <t>🚨 Registre des Risques - Template</t>
  </si>
  <si>
    <t>Cours Méthodologies Agile • RNCP39608-BC04-FM03 • CDWFS</t>
  </si>
  <si>
    <t>Mohamed EL AFRIT - www.mohamedelafrit.com</t>
  </si>
  <si>
    <t>📖 Comment utiliser ce template</t>
  </si>
  <si>
    <t>1. L'onglet « Registre des Risques »</t>
  </si>
  <si>
    <t>C'est le tableau principal. Chaque ligne = 1 risque identifié avec son évaluation, sa stratégie de réponse et son impact sur le backlog. Les 10 risques SkillHub sont pré-remplis comme exemple. Remplacez-les par vos propres risques.</t>
  </si>
  <si>
    <t>2. Colonne « ID »</t>
  </si>
  <si>
    <t>Identifiant unique du risque (R01, R02...). Utilisez ce code pour référencer le risque dans le backlog et les Sprint Reviews. Gardez la numérotation séquentielle.</t>
  </si>
  <si>
    <t>3. Colonne « Catégorie »</t>
  </si>
  <si>
    <t>Classez chaque risque dans l'une des 4 catégories du menu déroulant : Technique (performance, compatibilité, dette technique), Organisationnel (vélocité, scope creep, communication), Externe (API tierces, hébergeur, réglementation), Sécurité (failles, RGPD, données sensibles).</t>
  </si>
  <si>
    <t>4. Colonne « Description du risque »</t>
  </si>
  <si>
    <t>Décrivez le risque de manière précise et factuelle. Mauvais : « Le site pourrait planter ». Bon : « La base de données PostgreSQL pourrait être surchargée au-delà de 500 utilisateurs simultanés, causant des timeouts sur les requêtes de listing des ateliers. »</t>
  </si>
  <si>
    <t>5. Colonnes « Probabilité » et « Impact »</t>
  </si>
  <si>
    <t>Évaluez chaque risque de 1 à 4. Probabilité : 1=très faible, 2=faible, 3=moyenne, 4=haute. Impact : 1=faible, 2=modéré, 3=fort, 4=critique. Le score est calculé automatiquement (P × I). Utilisez les menus déroulants.</t>
  </si>
  <si>
    <t>6. Colonne « Score » (formule automatique)</t>
  </si>
  <si>
    <t>Le score = Probabilité × Impact est calculé par une formule. Il va de 1 à 16. Interprétation : 1-3 = Faible (vert), 4-6 = Modéré (jaune), 8-9 = Élevé (orange), 12-16 = Critique (rouge). Les risques ≥ 8 nécessitent une action dans le backlog.</t>
  </si>
  <si>
    <t>7. Colonne « Stratégie »</t>
  </si>
  <si>
    <t>Choisissez dans le menu déroulant : Atténuer (réduire probabilité ou impact), Éviter (changer le plan pour éliminer le risque), Accepter (ne rien faire si score faible), Transférer (déléguer à un tiers). Voir les 4 fiches stratégie dans le cours Ch.14.</t>
  </si>
  <si>
    <t>8. Colonne « Action d'atténuation »</t>
  </si>
  <si>
    <t>Décrivez concrètement ce que l'équipe va faire pour traiter le risque. Soyez précis : « Implémenter un cache Redis sur les endpoints GET /ateliers et GET /users » est mieux que « Améliorer les performances ».</t>
  </si>
  <si>
    <t>9. Colonne « Impact Backlog »</t>
  </si>
  <si>
    <t>Indiquez le nombre de User Stories générées par ce risque et le total de SP ajoutés au backlog. Si la stratégie est Accepter → « Aucun ». C'est le lien direct entre le registre des risques et le Product Backlog.</t>
  </si>
  <si>
    <t>10. L'onglet « Impact sur le Backlog »</t>
  </si>
  <si>
    <t>Détaille les User Stories techniques générées par les risques. Chaque story est rédigée au format standard « En tant que... » avec estimation en SP et affectation sprint. Ces stories doivent être ajoutées à votre Product Backlog (Ch.8) et intégrées au Release Planning (Ch.9).</t>
  </si>
  <si>
    <t>REGISTRE DES RISQUES - EduTutor IA (equipe 11)</t>
  </si>
  <si>
    <t>Projet : EduTutor IA (APOCAL'IPSSI) | Date : 02/07/2026 | Perturbation J4 (passage a l'echelle). Echelle 1-4, Score = Prob x Impact. Volet accessibilite (R02) : Van Anh &amp; Seer.</t>
  </si>
  <si>
    <t>ID</t>
  </si>
  <si>
    <t>Catégorie</t>
  </si>
  <si>
    <t>Description du risque</t>
  </si>
  <si>
    <t>Prob. (1-4)</t>
  </si>
  <si>
    <t>Impact (1-4)</t>
  </si>
  <si>
    <t>Score</t>
  </si>
  <si>
    <t>Stratégie</t>
  </si>
  <si>
    <t>Action d'atténuation</t>
  </si>
  <si>
    <t>Impact Backlog</t>
  </si>
  <si>
    <t>R01</t>
  </si>
  <si>
    <t>Technique</t>
  </si>
  <si>
    <t>Effondrement du service sous la charge nationale (generation synchrone, un seul serveur, base non repliquee)</t>
  </si>
  <si>
    <t>Attenuer</t>
  </si>
  <si>
    <t>File asynchrone (Celery/Redis) + replica lecture + tests de charge + scaling horizontal</t>
  </si>
  <si>
    <t>+3 stories (18 SP)</t>
  </si>
  <si>
    <t>R02</t>
  </si>
  <si>
    <t>Conformite</t>
  </si>
  <si>
    <t>Non-conformite RGAA -&gt; interdiction de deploiement en service public (obligation legale)</t>
  </si>
  <si>
    <t>Audit RGAA (7 ecrans) + correction des criteres prioritaires + declaration d'accessibilite (persona Lucia)</t>
  </si>
  <si>
    <t>+4 stories (13 SP)</t>
  </si>
  <si>
    <t>R03</t>
  </si>
  <si>
    <t>Point de rupture inconnu, decouvert en pleine production (aucun test de charge)</t>
  </si>
  <si>
    <t>Tests de charge k6/Locust chiffrant le seuil avant le lancement national</t>
  </si>
  <si>
    <t>+1 story (5 SP)</t>
  </si>
  <si>
    <t>R04</t>
  </si>
  <si>
    <t>Externe</t>
  </si>
  <si>
    <t>Interface mono-langue -&gt; expansion europeenne bloquee (chaines codees en dur)</t>
  </si>
  <si>
    <t>Externaliser les chaines (i18n FR/EN/ES) + selecteur de langue persistant</t>
  </si>
  <si>
    <t>+1 story (8 SP)</t>
  </si>
  <si>
    <t>R05</t>
  </si>
  <si>
    <t>Cout et latence LLM explosent a l'echelle (une inference par requete, pas de cache)</t>
  </si>
  <si>
    <t>Cache des quiz (empreinte de contenu) + dimensionnement + budget d'alerte</t>
  </si>
  <si>
    <t>R06</t>
  </si>
  <si>
    <t>Panne silencieuse en production (aucune supervision)</t>
  </si>
  <si>
    <t>Observabilite : metriques + alertes de seuil (latence, taux d'erreur, profondeur de file)</t>
  </si>
  <si>
    <t>R07</t>
  </si>
  <si>
    <t>Quiz genere dans la mauvaise langue (langue du cours non detectee)</t>
  </si>
  <si>
    <t>Detection de la langue du cours + prompt systeme dedie + validation de la traduction</t>
  </si>
  <si>
    <t>R08</t>
  </si>
  <si>
    <t>Organisationnel</t>
  </si>
  <si>
    <t>Equipe reduite ne tient pas la charge de la Release 3 (2 membres quasi inactifs)</t>
  </si>
  <si>
    <t>MoSCoW strict + binomage + US non critiques en R3+ + renfort post-levee de fonds</t>
  </si>
  <si>
    <t>Processus (pas de story)</t>
  </si>
  <si>
    <t>R09</t>
  </si>
  <si>
    <t>Afflux de demandes RGPD / SAR a l'echelle (traitement manuel)</t>
  </si>
  <si>
    <t>Industrialiser le traitement SAR (fiche + check-list, deja amorce en J3-bis)</t>
  </si>
  <si>
    <t>+1 story (3 SP)</t>
  </si>
  <si>
    <t>R10</t>
  </si>
  <si>
    <t>SPOF : dependance a un hebergeur unique (OVH mono-region)</t>
  </si>
  <si>
    <t>Transferer</t>
  </si>
  <si>
    <t>Redondance multi-region / fournisseur de secours (ADR de resilience a produire)</t>
  </si>
  <si>
    <t>Aucun (ADR)</t>
  </si>
  <si>
    <t>Les 10 risques ci-dessus couvrent les 3 axes J4. Cases rouges (Score &gt;= 8) : action d'attenuation concrete obligatoire.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</si>
  <si>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</si>
  <si>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</si>
  <si>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</si>
  <si>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</si>
  <si>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</si>
  <si>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</si>
  <si>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</si>
  <si>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</si>
  <si>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</si>
  <si>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</si>
  <si>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Template créé par Mohamed EL AFRIT - www.mohamedelafrit.com - Cours Agile CDWFS 2026</t>
  </si>
  <si>
    <t>IMPACT DES RISQUES SUR LE PRODUCT BACKLOG - EduTutor IA</t>
  </si>
  <si>
    <t>Les actions d'attenuation des risques Score &gt;= 8 deviennent des User Stories estimees et priorisees (regle d'or).</t>
  </si>
  <si>
    <t>Risque source</t>
  </si>
  <si>
    <t>Story ID</t>
  </si>
  <si>
    <t>User Story (format standard)</t>
  </si>
  <si>
    <t>SP</t>
  </si>
  <si>
    <t>Sprint</t>
  </si>
  <si>
    <t>Justification</t>
  </si>
  <si>
    <t>US-J4-06</t>
  </si>
  <si>
    <t>En tant que Lucia (lyceenne malvoyante), je veux naviguer et passer un quiz entierement au clavier avec un lecteur d'ecran, afin d'utiliser EduTutor sans souris ni vue.</t>
  </si>
  <si>
    <t>R3</t>
  </si>
  <si>
    <t>Score 12 - RGAA, obligation legale d'un service public ; sans clavier + ARIA, exclusion des utilisateurs handicapes.</t>
  </si>
  <si>
    <t>US-J4-07</t>
  </si>
  <si>
    <t>En tant qu'utilisateur en situation de handicap visuel, je veux des contrastes conformes (&gt;= 4.5:1) et un texte redimensionnable a 200%, afin de lire confortablement l'interface.</t>
  </si>
  <si>
    <t>Score 12 - Contrastes et zoom : criteres RGAA 3.x/10.4, forte fatigue oculaire sinon.</t>
  </si>
  <si>
    <t>US-J4-08</t>
  </si>
  <si>
    <t>En tant que responsable d'un service public, je veux publier une declaration d'accessibilite RGAA, afin de respecter l'obligation legale.</t>
  </si>
  <si>
    <t>Score 12 - Mention legale obligatoire (taux, derogations, contact, voie de recours).</t>
  </si>
  <si>
    <t>US-J4-09</t>
  </si>
  <si>
    <t>En tant que developpeur, je veux un audit d'accessibilite automatise en CI (axe-core), afin de prevenir les regressions RGAA.</t>
  </si>
  <si>
    <t>Score 12 - Garde-fou de non-regression accessibilite.</t>
  </si>
  <si>
    <t>US-J4-01</t>
  </si>
  <si>
    <t>En tant que SRE, je veux que la generation de quiz passe par une file asynchrone, afin d'absorber les pics de charge nationale.</t>
  </si>
  <si>
    <t>Score 16 - Sans file async, effondrement au pic national.</t>
  </si>
  <si>
    <t>US-J4-03</t>
  </si>
  <si>
    <t>En tant que SRE, je veux des tests de charge automatises (k6/Locust), afin de connaitre le point de rupture avant le lancement.</t>
  </si>
  <si>
    <t>Score 16 / 8 - Chiffrer le seuil avant la production.</t>
  </si>
  <si>
    <t>US-J4-04</t>
  </si>
  <si>
    <t>En tant que SRE, je veux repartir la generation sur un pool d'instances LLM, afin de tenir la charge sans degrader les temps de reponse.</t>
  </si>
  <si>
    <t>Score 16 - Scaling horizontal necessaire a l'echelle.</t>
  </si>
  <si>
    <t>US-J4-10</t>
  </si>
  <si>
    <t>En tant que Sofia (Erasmus), je veux basculer la langue de l'interface (FR/EN/ES) via une lib i18n, afin d'utiliser EduTutor dans ma langue.</t>
  </si>
  <si>
    <t>Score 9 - Chaines externalisees, expansion europeenne.</t>
  </si>
  <si>
    <t>US-J4-02</t>
  </si>
  <si>
    <t>En tant que SRE, je veux mettre en cache les quiz d'un meme contenu, afin de reduire la charge LLM et le cout.</t>
  </si>
  <si>
    <t>Score 6 - Cache-hit journalise, cout maitrise.</t>
  </si>
  <si>
    <t>US-J4-05</t>
  </si>
  <si>
    <t>En tant que SRE, je veux des metriques et des alertes de production, afin de detecter une panne avant les utilisateurs.</t>
  </si>
  <si>
    <t>Score 6 - Observabilite, detection precoce.</t>
  </si>
  <si>
    <t>US-J4-11</t>
  </si>
  <si>
    <t>En tant que Sofia, je veux que le quiz soit genere dans la langue de mon cours, afin de reviser dans la langue ou j'ai appris.</t>
  </si>
  <si>
    <t>Score 6 - Prompt systeme + validation de la langue de sortie.</t>
  </si>
  <si>
    <t>TOTAL - Stories d'attenuation ajoutees au backlog</t>
  </si>
  <si>
    <t>📊 Résumé de l'impact</t>
  </si>
  <si>
    <t>11 User Stories techniques generees par 6 risques. Volet accessibilite (R02) = 4 stories / 13 SP (Van Anh &amp; Seer).</t>
  </si>
  <si>
    <t>⬇️  VOS STORIES D'ATTÉNUATION CI-DESSOUS  ⬇️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</si>
</sst>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1"/>
    </font>
    <font>
      <b/>
      <sz val="18"/>
      <color rgb="FF2D31A6"/>
      <name val="Arial"/>
      <charset val="1"/>
    </font>
    <font>
      <sz val="9"/>
      <color rgb="FF6B7280"/>
      <name val="Arial"/>
      <charset val="1"/>
    </font>
    <font>
      <b/>
      <sz val="10"/>
      <color rgb="FF2D31A6"/>
      <name val="Arial"/>
      <charset val="1"/>
    </font>
    <font>
      <b/>
      <sz val="13"/>
      <color rgb="FF4F46E5"/>
      <name val="Arial"/>
      <charset val="1"/>
    </font>
    <font>
      <b/>
      <sz val="11"/>
      <color rgb="FF111827"/>
      <name val="Arial"/>
      <charset val="1"/>
    </font>
    <font>
      <sz val="10"/>
      <color rgb="FF374151"/>
      <name val="Arial"/>
      <charset val="1"/>
    </font>
    <font>
      <b/>
      <sz val="15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4F46E5"/>
      <name val="Arial"/>
      <charset val="1"/>
    </font>
    <font>
      <b/>
      <sz val="8"/>
      <color rgb="FFDC2626"/>
      <name val="Arial"/>
      <charset val="1"/>
    </font>
    <font>
      <sz val="9"/>
      <color rgb="FF374151"/>
      <name val="Arial"/>
      <charset val="1"/>
    </font>
    <font>
      <b/>
      <sz val="12"/>
      <color rgb="FF991B1B"/>
      <name val="Arial"/>
      <charset val="1"/>
    </font>
    <font>
      <b/>
      <sz val="9"/>
      <color rgb="FF374151"/>
      <name val="Arial"/>
      <charset val="1"/>
    </font>
    <font>
      <sz val="8"/>
      <color rgb="FF6B7280"/>
      <name val="Arial"/>
      <charset val="1"/>
    </font>
    <font>
      <b/>
      <sz val="8"/>
      <color rgb="FF4F46E5"/>
      <name val="Arial"/>
      <charset val="1"/>
    </font>
    <font>
      <b/>
      <sz val="12"/>
      <color rgb="FFD97706"/>
      <name val="Arial"/>
      <charset val="1"/>
    </font>
    <font>
      <b/>
      <sz val="8"/>
      <color rgb="FFD97706"/>
      <name val="Arial"/>
      <charset val="1"/>
    </font>
    <font>
      <b/>
      <sz val="8"/>
      <color rgb="FF6B7280"/>
      <name val="Arial"/>
      <charset val="1"/>
    </font>
    <font>
      <b/>
      <sz val="8"/>
      <color rgb="FF059669"/>
      <name val="Arial"/>
      <charset val="1"/>
    </font>
    <font>
      <b/>
      <sz val="11"/>
      <color rgb="FFD97706"/>
      <name val="Arial"/>
      <charset val="1"/>
    </font>
    <font>
      <b/>
      <sz val="11"/>
      <color rgb="FF059669"/>
      <name val="Arial"/>
      <charset val="1"/>
    </font>
    <font>
      <b/>
      <sz val="9"/>
      <color rgb="FF4F46E5"/>
      <name val="Arial"/>
      <charset val="1"/>
    </font>
    <font>
      <b/>
      <sz val="14"/>
      <color rgb="FFFFFFFF"/>
      <name val="Arial"/>
      <charset val="1"/>
    </font>
    <font>
      <i/>
      <sz val="9"/>
      <color rgb="FF4F46E5"/>
      <name val="Arial"/>
      <charset val="1"/>
    </font>
    <font>
      <b/>
      <sz val="9"/>
      <color rgb="FFDC2626"/>
      <name val="Arial"/>
      <charset val="1"/>
    </font>
    <font>
      <i/>
      <sz val="9"/>
      <color rgb="FF374151"/>
      <name val="Arial"/>
      <charset val="1"/>
    </font>
    <font>
      <b/>
      <sz val="11"/>
      <color rgb="FF4F46E5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C2626"/>
        <bgColor rgb="FF991B1B"/>
      </patternFill>
    </fill>
    <fill>
      <patternFill patternType="solid">
        <fgColor rgb="FFFEF2F2"/>
        <bgColor rgb="FFEEF2FF"/>
      </patternFill>
    </fill>
    <fill>
      <patternFill patternType="solid">
        <fgColor rgb="FFFEE2E2"/>
        <bgColor rgb="FFFFEDD5"/>
      </patternFill>
    </fill>
    <fill>
      <patternFill patternType="solid">
        <fgColor rgb="FFEEF2FF"/>
        <bgColor rgb="FFFEF2F2"/>
      </patternFill>
    </fill>
    <fill>
      <patternFill patternType="solid">
        <fgColor rgb="FFFFEDD5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D1FAE5"/>
        <bgColor rgb="FFDCFCE7"/>
      </patternFill>
    </fill>
    <fill>
      <patternFill patternType="solid">
        <fgColor rgb="FFFEF9C3"/>
        <bgColor rgb="FFFEF3C7"/>
      </patternFill>
    </fill>
    <fill>
      <patternFill patternType="solid">
        <fgColor rgb="FFDCFCE7"/>
        <bgColor rgb="FFD1FAE5"/>
      </patternFill>
    </fill>
    <fill>
      <patternFill patternType="solid">
        <fgColor rgb="FF4F46E5"/>
        <bgColor rgb="FF2D31A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11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11" borderId="0" xfId="0" applyFont="1" applyFill="1" applyAlignment="1">
      <alignment horizontal="center" vertical="center"/>
    </xf>
    <xf numFmtId="0" fontId="0" fillId="11" borderId="0" xfId="0" applyFill="1"/>
    <xf numFmtId="0" fontId="7" fillId="2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28" fillId="11" borderId="0" xfId="0" applyFont="1" applyFill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FEDD5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1FAE5"/>
      <rgbColor rgb="FFFEF3C7"/>
      <rgbColor rgb="FFFEF2F2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2D31A6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46E5"/>
  </sheetPr>
  <dimension ref="B2:B36"/>
  <sheetViews>
    <sheetView topLeftCell="A24" zoomScaleNormal="100" workbookViewId="0"/>
  </sheetViews>
  <sheetFormatPr defaultColWidth="8.7109375" defaultRowHeight="15"/>
  <cols>
    <col min="1" max="1" width="4" customWidth="1"/>
    <col min="2" max="2" width="92" customWidth="1"/>
  </cols>
  <sheetData>
    <row r="2" spans="2:2" ht="22.15" customHeight="1">
      <c r="B2" s="1" t="s">
        <v>0</v>
      </c>
    </row>
    <row r="3" spans="2:2" ht="15" customHeight="1">
      <c r="B3" s="2" t="s">
        <v>1</v>
      </c>
    </row>
    <row r="4" spans="2:2" ht="15" customHeight="1">
      <c r="B4" s="3" t="s">
        <v>2</v>
      </c>
    </row>
    <row r="6" spans="2:2" ht="16.149999999999999" customHeight="1">
      <c r="B6" s="4" t="s">
        <v>3</v>
      </c>
    </row>
    <row r="8" spans="2:2" ht="15" customHeight="1">
      <c r="B8" s="5" t="s">
        <v>4</v>
      </c>
    </row>
    <row r="9" spans="2:2" ht="35.1" customHeight="1">
      <c r="B9" s="6" t="s">
        <v>5</v>
      </c>
    </row>
    <row r="11" spans="2:2" ht="15" customHeight="1">
      <c r="B11" s="5" t="s">
        <v>6</v>
      </c>
    </row>
    <row r="12" spans="2:2" ht="23.85" customHeight="1">
      <c r="B12" s="6" t="s">
        <v>7</v>
      </c>
    </row>
    <row r="14" spans="2:2" ht="15" customHeight="1">
      <c r="B14" s="5" t="s">
        <v>8</v>
      </c>
    </row>
    <row r="15" spans="2:2" ht="35.1" customHeight="1">
      <c r="B15" s="6" t="s">
        <v>9</v>
      </c>
    </row>
    <row r="17" spans="2:2" ht="15" customHeight="1">
      <c r="B17" s="5" t="s">
        <v>10</v>
      </c>
    </row>
    <row r="18" spans="2:2" ht="35.1" customHeight="1">
      <c r="B18" s="6" t="s">
        <v>11</v>
      </c>
    </row>
    <row r="20" spans="2:2" ht="15" customHeight="1">
      <c r="B20" s="5" t="s">
        <v>12</v>
      </c>
    </row>
    <row r="21" spans="2:2" ht="23.85" customHeight="1">
      <c r="B21" s="6" t="s">
        <v>13</v>
      </c>
    </row>
    <row r="23" spans="2:2" ht="15" customHeight="1">
      <c r="B23" s="5" t="s">
        <v>14</v>
      </c>
    </row>
    <row r="24" spans="2:2" ht="35.1" customHeight="1">
      <c r="B24" s="6" t="s">
        <v>15</v>
      </c>
    </row>
    <row r="26" spans="2:2" ht="15" customHeight="1">
      <c r="B26" s="5" t="s">
        <v>16</v>
      </c>
    </row>
    <row r="27" spans="2:2" ht="35.1" customHeight="1">
      <c r="B27" s="6" t="s">
        <v>17</v>
      </c>
    </row>
    <row r="29" spans="2:2" ht="15" customHeight="1">
      <c r="B29" s="5" t="s">
        <v>18</v>
      </c>
    </row>
    <row r="30" spans="2:2" ht="23.85" customHeight="1">
      <c r="B30" s="6" t="s">
        <v>19</v>
      </c>
    </row>
    <row r="32" spans="2:2" ht="15" customHeight="1">
      <c r="B32" s="5" t="s">
        <v>20</v>
      </c>
    </row>
    <row r="33" spans="2:2" ht="23.85" customHeight="1">
      <c r="B33" s="6" t="s">
        <v>21</v>
      </c>
    </row>
    <row r="35" spans="2:2" ht="15" customHeight="1">
      <c r="B35" s="5" t="s">
        <v>22</v>
      </c>
    </row>
    <row r="36" spans="2:2" ht="35.1" customHeight="1">
      <c r="B36" s="6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B1:J26"/>
  <sheetViews>
    <sheetView tabSelected="1" zoomScaleNormal="100"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ColWidth="8.7109375" defaultRowHeight="15"/>
  <cols>
    <col min="1" max="1" width="4" customWidth="1"/>
    <col min="2" max="2" width="6" customWidth="1"/>
    <col min="3" max="3" width="13" customWidth="1"/>
    <col min="4" max="4" width="42" customWidth="1"/>
    <col min="5" max="7" width="8" customWidth="1"/>
    <col min="8" max="8" width="12" customWidth="1"/>
    <col min="9" max="9" width="35" customWidth="1"/>
    <col min="10" max="10" width="18" customWidth="1"/>
  </cols>
  <sheetData>
    <row r="1" spans="2:10" ht="37.5" customHeight="1">
      <c r="B1" s="36" t="s">
        <v>24</v>
      </c>
      <c r="C1" s="43"/>
      <c r="D1" s="43"/>
      <c r="E1" s="43"/>
      <c r="F1" s="43"/>
      <c r="G1" s="43"/>
      <c r="H1" s="43"/>
      <c r="I1" s="43"/>
      <c r="J1" s="43"/>
    </row>
    <row r="2" spans="2:10" ht="15" customHeight="1">
      <c r="B2" s="38" t="s">
        <v>25</v>
      </c>
      <c r="C2" s="43"/>
      <c r="D2" s="43"/>
      <c r="E2" s="43"/>
      <c r="F2" s="43"/>
      <c r="G2" s="43"/>
      <c r="H2" s="43"/>
      <c r="I2" s="43"/>
      <c r="J2" s="43"/>
    </row>
    <row r="3" spans="2:10" ht="31.5" customHeight="1"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2:10" ht="48" customHeight="1">
      <c r="B4" s="8" t="s">
        <v>35</v>
      </c>
      <c r="C4" s="9" t="s">
        <v>36</v>
      </c>
      <c r="D4" s="10" t="s">
        <v>37</v>
      </c>
      <c r="E4" s="11">
        <v>4</v>
      </c>
      <c r="F4" s="11">
        <v>4</v>
      </c>
      <c r="G4" s="12">
        <f>E4*F4</f>
        <v>16</v>
      </c>
      <c r="H4" s="13" t="s">
        <v>38</v>
      </c>
      <c r="I4" s="14" t="s">
        <v>39</v>
      </c>
      <c r="J4" s="15" t="s">
        <v>40</v>
      </c>
    </row>
    <row r="5" spans="2:10" ht="48" customHeight="1">
      <c r="B5" s="8" t="s">
        <v>41</v>
      </c>
      <c r="C5" s="16" t="s">
        <v>42</v>
      </c>
      <c r="D5" s="10" t="s">
        <v>43</v>
      </c>
      <c r="E5" s="11">
        <v>3</v>
      </c>
      <c r="F5" s="11">
        <v>4</v>
      </c>
      <c r="G5" s="17">
        <f>E5*F5</f>
        <v>12</v>
      </c>
      <c r="H5" s="13" t="s">
        <v>38</v>
      </c>
      <c r="I5" s="14" t="s">
        <v>44</v>
      </c>
      <c r="J5" s="15" t="s">
        <v>45</v>
      </c>
    </row>
    <row r="6" spans="2:10" ht="48" customHeight="1">
      <c r="B6" s="8" t="s">
        <v>46</v>
      </c>
      <c r="C6" s="16" t="s">
        <v>36</v>
      </c>
      <c r="D6" s="10" t="s">
        <v>47</v>
      </c>
      <c r="E6" s="11">
        <v>2</v>
      </c>
      <c r="F6" s="11">
        <v>4</v>
      </c>
      <c r="G6" s="17">
        <f>E6*F6</f>
        <v>8</v>
      </c>
      <c r="H6" s="13" t="s">
        <v>38</v>
      </c>
      <c r="I6" s="14" t="s">
        <v>48</v>
      </c>
      <c r="J6" s="15" t="s">
        <v>49</v>
      </c>
    </row>
    <row r="7" spans="2:10" ht="48" customHeight="1">
      <c r="B7" s="8" t="s">
        <v>50</v>
      </c>
      <c r="C7" s="18" t="s">
        <v>51</v>
      </c>
      <c r="D7" s="10" t="s">
        <v>52</v>
      </c>
      <c r="E7" s="11">
        <v>3</v>
      </c>
      <c r="F7" s="11">
        <v>3</v>
      </c>
      <c r="G7" s="17">
        <f>E7*F7</f>
        <v>9</v>
      </c>
      <c r="H7" s="13" t="s">
        <v>38</v>
      </c>
      <c r="I7" s="14" t="s">
        <v>53</v>
      </c>
      <c r="J7" s="19" t="s">
        <v>54</v>
      </c>
    </row>
    <row r="8" spans="2:10" ht="48" customHeight="1">
      <c r="B8" s="8" t="s">
        <v>55</v>
      </c>
      <c r="C8" s="20" t="s">
        <v>36</v>
      </c>
      <c r="D8" s="10" t="s">
        <v>56</v>
      </c>
      <c r="E8" s="11">
        <v>2</v>
      </c>
      <c r="F8" s="11">
        <v>3</v>
      </c>
      <c r="G8" s="21">
        <f>E8*F8</f>
        <v>6</v>
      </c>
      <c r="H8" s="13" t="s">
        <v>38</v>
      </c>
      <c r="I8" s="14" t="s">
        <v>57</v>
      </c>
      <c r="J8" s="15" t="s">
        <v>49</v>
      </c>
    </row>
    <row r="9" spans="2:10" ht="48" customHeight="1">
      <c r="B9" s="8" t="s">
        <v>58</v>
      </c>
      <c r="C9" s="16" t="s">
        <v>36</v>
      </c>
      <c r="D9" s="10" t="s">
        <v>59</v>
      </c>
      <c r="E9" s="11">
        <v>2</v>
      </c>
      <c r="F9" s="11">
        <v>3</v>
      </c>
      <c r="G9" s="21">
        <f>E9*F9</f>
        <v>6</v>
      </c>
      <c r="H9" s="13" t="s">
        <v>38</v>
      </c>
      <c r="I9" s="14" t="s">
        <v>60</v>
      </c>
      <c r="J9" s="15" t="s">
        <v>49</v>
      </c>
    </row>
    <row r="10" spans="2:10" ht="48" customHeight="1">
      <c r="B10" s="8" t="s">
        <v>61</v>
      </c>
      <c r="C10" s="9" t="s">
        <v>36</v>
      </c>
      <c r="D10" s="10" t="s">
        <v>62</v>
      </c>
      <c r="E10" s="11">
        <v>2</v>
      </c>
      <c r="F10" s="11">
        <v>3</v>
      </c>
      <c r="G10" s="17">
        <f>E10*F10</f>
        <v>6</v>
      </c>
      <c r="H10" s="13" t="s">
        <v>38</v>
      </c>
      <c r="I10" s="14" t="s">
        <v>63</v>
      </c>
      <c r="J10" s="15" t="s">
        <v>49</v>
      </c>
    </row>
    <row r="11" spans="2:10" ht="48" customHeight="1">
      <c r="B11" s="8" t="s">
        <v>64</v>
      </c>
      <c r="C11" s="18" t="s">
        <v>65</v>
      </c>
      <c r="D11" s="10" t="s">
        <v>66</v>
      </c>
      <c r="E11" s="11">
        <v>3</v>
      </c>
      <c r="F11" s="11">
        <v>3</v>
      </c>
      <c r="G11" s="17">
        <f>E11*F11</f>
        <v>9</v>
      </c>
      <c r="H11" s="13" t="s">
        <v>38</v>
      </c>
      <c r="I11" s="14" t="s">
        <v>67</v>
      </c>
      <c r="J11" s="19" t="s">
        <v>68</v>
      </c>
    </row>
    <row r="12" spans="2:10" ht="48" customHeight="1">
      <c r="B12" s="8" t="s">
        <v>69</v>
      </c>
      <c r="C12" s="20" t="s">
        <v>42</v>
      </c>
      <c r="D12" s="10" t="s">
        <v>70</v>
      </c>
      <c r="E12" s="11">
        <v>2</v>
      </c>
      <c r="F12" s="11">
        <v>3</v>
      </c>
      <c r="G12" s="22">
        <f>E12*F12</f>
        <v>6</v>
      </c>
      <c r="H12" s="13" t="s">
        <v>38</v>
      </c>
      <c r="I12" s="14" t="s">
        <v>71</v>
      </c>
      <c r="J12" s="19" t="s">
        <v>72</v>
      </c>
    </row>
    <row r="13" spans="2:10" ht="48" customHeight="1">
      <c r="B13" s="8" t="s">
        <v>73</v>
      </c>
      <c r="C13" s="16" t="s">
        <v>51</v>
      </c>
      <c r="D13" s="10" t="s">
        <v>74</v>
      </c>
      <c r="E13" s="11">
        <v>1</v>
      </c>
      <c r="F13" s="11">
        <v>4</v>
      </c>
      <c r="G13" s="17">
        <f>E13*F13</f>
        <v>4</v>
      </c>
      <c r="H13" s="13" t="s">
        <v>75</v>
      </c>
      <c r="I13" s="14" t="s">
        <v>76</v>
      </c>
      <c r="J13" s="15" t="s">
        <v>77</v>
      </c>
    </row>
    <row r="14" spans="2:10" ht="15" customHeight="1">
      <c r="B14" s="37" t="s">
        <v>78</v>
      </c>
      <c r="C14" s="43"/>
      <c r="D14" s="43"/>
      <c r="E14" s="43"/>
      <c r="F14" s="43"/>
      <c r="G14" s="43"/>
      <c r="H14" s="43"/>
      <c r="I14" s="43"/>
      <c r="J14" s="43"/>
    </row>
    <row r="15" spans="2:10" ht="15" customHeight="1">
      <c r="B15" s="23" t="s">
        <v>79</v>
      </c>
      <c r="C15" s="24"/>
      <c r="D15" s="25"/>
      <c r="E15" s="24"/>
      <c r="F15" s="24"/>
      <c r="G15" s="24">
        <f>E15*F15</f>
        <v>0</v>
      </c>
      <c r="H15" s="24"/>
      <c r="I15" s="25"/>
      <c r="J15" s="24"/>
    </row>
    <row r="16" spans="2:10" ht="15" customHeight="1">
      <c r="B16" s="23" t="s">
        <v>80</v>
      </c>
      <c r="C16" s="24"/>
      <c r="D16" s="25"/>
      <c r="E16" s="24"/>
      <c r="F16" s="24"/>
      <c r="G16" s="24">
        <f>E16*F16</f>
        <v>0</v>
      </c>
      <c r="H16" s="24"/>
      <c r="I16" s="25"/>
      <c r="J16" s="24"/>
    </row>
    <row r="17" spans="2:10" ht="15" customHeight="1">
      <c r="B17" s="23" t="s">
        <v>81</v>
      </c>
      <c r="C17" s="24"/>
      <c r="D17" s="25"/>
      <c r="E17" s="24"/>
      <c r="F17" s="24"/>
      <c r="G17" s="24">
        <f>E17*F17</f>
        <v>0</v>
      </c>
      <c r="H17" s="24"/>
      <c r="I17" s="25"/>
      <c r="J17" s="24"/>
    </row>
    <row r="18" spans="2:10" ht="15" customHeight="1">
      <c r="B18" s="23" t="s">
        <v>82</v>
      </c>
      <c r="C18" s="24"/>
      <c r="D18" s="25"/>
      <c r="E18" s="24"/>
      <c r="F18" s="24"/>
      <c r="G18" s="24">
        <f>E18*F18</f>
        <v>0</v>
      </c>
      <c r="H18" s="24"/>
      <c r="I18" s="25"/>
      <c r="J18" s="24"/>
    </row>
    <row r="19" spans="2:10" ht="15" customHeight="1">
      <c r="B19" s="23" t="s">
        <v>83</v>
      </c>
      <c r="C19" s="24"/>
      <c r="D19" s="25"/>
      <c r="E19" s="24"/>
      <c r="F19" s="24"/>
      <c r="G19" s="24">
        <f>E19*F19</f>
        <v>0</v>
      </c>
      <c r="H19" s="24"/>
      <c r="I19" s="25"/>
      <c r="J19" s="24"/>
    </row>
    <row r="20" spans="2:10" ht="15" customHeight="1">
      <c r="B20" s="23" t="s">
        <v>84</v>
      </c>
      <c r="C20" s="24"/>
      <c r="D20" s="25"/>
      <c r="E20" s="24"/>
      <c r="F20" s="24"/>
      <c r="G20" s="24">
        <f>E20*F20</f>
        <v>0</v>
      </c>
      <c r="H20" s="24"/>
      <c r="I20" s="25"/>
      <c r="J20" s="24"/>
    </row>
    <row r="21" spans="2:10" ht="15" customHeight="1">
      <c r="B21" s="23" t="s">
        <v>85</v>
      </c>
      <c r="C21" s="24"/>
      <c r="D21" s="25"/>
      <c r="E21" s="24"/>
      <c r="F21" s="24"/>
      <c r="G21" s="24">
        <f>E21*F21</f>
        <v>0</v>
      </c>
      <c r="H21" s="24"/>
      <c r="I21" s="25"/>
      <c r="J21" s="24"/>
    </row>
    <row r="22" spans="2:10" ht="15" customHeight="1">
      <c r="B22" s="23" t="s">
        <v>86</v>
      </c>
      <c r="C22" s="24"/>
      <c r="D22" s="25"/>
      <c r="E22" s="24"/>
      <c r="F22" s="24"/>
      <c r="G22" s="24">
        <f>E22*F22</f>
        <v>0</v>
      </c>
      <c r="H22" s="24"/>
      <c r="I22" s="25"/>
      <c r="J22" s="24"/>
    </row>
    <row r="23" spans="2:10" ht="15" customHeight="1">
      <c r="B23" s="23" t="s">
        <v>87</v>
      </c>
      <c r="C23" s="24"/>
      <c r="D23" s="25"/>
      <c r="E23" s="24"/>
      <c r="F23" s="24"/>
      <c r="G23" s="24">
        <f>E23*F23</f>
        <v>0</v>
      </c>
      <c r="H23" s="24"/>
      <c r="I23" s="25"/>
      <c r="J23" s="24"/>
    </row>
    <row r="24" spans="2:10" ht="15" customHeight="1">
      <c r="B24" s="23" t="s">
        <v>88</v>
      </c>
      <c r="C24" s="24"/>
      <c r="D24" s="25"/>
      <c r="E24" s="24"/>
      <c r="F24" s="24"/>
      <c r="G24" s="24">
        <f>E24*F24</f>
        <v>0</v>
      </c>
      <c r="H24" s="24"/>
      <c r="I24" s="25"/>
      <c r="J24" s="24"/>
    </row>
    <row r="26" spans="2:10" ht="15" customHeight="1">
      <c r="B26" s="3" t="s">
        <v>89</v>
      </c>
    </row>
  </sheetData>
  <autoFilter ref="B3:J3" xr:uid="{00000000-0009-0000-0000-000001000000}"/>
  <mergeCells count="3">
    <mergeCell ref="B1:J1"/>
    <mergeCell ref="B14:J14"/>
    <mergeCell ref="B2:J2"/>
  </mergeCells>
  <dataValidations count="4">
    <dataValidation type="list" allowBlank="1" promptTitle="Catégorie" prompt="Technique, Organisationnel, Externe ou Sécurité" sqref="C4:C13 C15:C24" xr:uid="{00000000-0002-0000-0100-000000000000}">
      <formula1>"Technique,Organisationnel,Externe,Sécurité"</formula1>
      <formula2>0</formula2>
    </dataValidation>
    <dataValidation type="list" allowBlank="1" promptTitle="Probabilité" prompt="1=très faible, 2=faible, 3=moyenne, 4=haute" sqref="E4:E13 E15:E24" xr:uid="{00000000-0002-0000-0100-000001000000}">
      <formula1>"1,2,3,4"</formula1>
      <formula2>0</formula2>
    </dataValidation>
    <dataValidation type="list" allowBlank="1" promptTitle="Impact" prompt="1=faible, 2=modéré, 3=fort, 4=critique" sqref="F4:F13 F15:F24" xr:uid="{00000000-0002-0000-0100-000002000000}">
      <formula1>"1,2,3,4"</formula1>
      <formula2>0</formula2>
    </dataValidation>
    <dataValidation type="list" allowBlank="1" promptTitle="Stratégie" prompt="Atténuer, Éviter, Accepter ou Transférer" sqref="H4:H13 H15:H24" xr:uid="{00000000-0002-0000-0100-000003000000}">
      <formula1>"Atténuer,Éviter,Accepter,Transférer"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46E5"/>
  </sheetPr>
  <dimension ref="B1:G33"/>
  <sheetViews>
    <sheetView topLeftCell="A8" zoomScaleNormal="100" workbookViewId="0"/>
  </sheetViews>
  <sheetFormatPr defaultColWidth="8.7109375" defaultRowHeight="15"/>
  <cols>
    <col min="1" max="1" width="4" customWidth="1"/>
    <col min="2" max="2" width="10" customWidth="1"/>
    <col min="3" max="3" width="12" customWidth="1"/>
    <col min="4" max="4" width="55" customWidth="1"/>
    <col min="5" max="6" width="8" customWidth="1"/>
    <col min="7" max="7" width="30" customWidth="1"/>
  </cols>
  <sheetData>
    <row r="1" spans="2:7" ht="34.5" customHeight="1">
      <c r="B1" s="40" t="s">
        <v>90</v>
      </c>
      <c r="C1" s="43"/>
      <c r="D1" s="43"/>
      <c r="E1" s="43"/>
      <c r="F1" s="43"/>
      <c r="G1" s="43"/>
    </row>
    <row r="2" spans="2:7" ht="27.75" customHeight="1">
      <c r="B2" s="39" t="s">
        <v>91</v>
      </c>
      <c r="C2" s="43"/>
      <c r="D2" s="43"/>
      <c r="E2" s="43"/>
      <c r="F2" s="43"/>
      <c r="G2" s="43"/>
    </row>
    <row r="3" spans="2:7" ht="27.75" customHeight="1">
      <c r="B3" s="26" t="s">
        <v>92</v>
      </c>
      <c r="C3" s="26" t="s">
        <v>93</v>
      </c>
      <c r="D3" s="26" t="s">
        <v>94</v>
      </c>
      <c r="E3" s="26" t="s">
        <v>95</v>
      </c>
      <c r="F3" s="26" t="s">
        <v>96</v>
      </c>
      <c r="G3" s="26" t="s">
        <v>97</v>
      </c>
    </row>
    <row r="4" spans="2:7" ht="43.5" customHeight="1">
      <c r="B4" s="27" t="s">
        <v>41</v>
      </c>
      <c r="C4" s="28" t="s">
        <v>98</v>
      </c>
      <c r="D4" s="29" t="s">
        <v>99</v>
      </c>
      <c r="E4" s="30">
        <v>5</v>
      </c>
      <c r="F4" s="31" t="s">
        <v>100</v>
      </c>
      <c r="G4" s="14" t="s">
        <v>101</v>
      </c>
    </row>
    <row r="5" spans="2:7" ht="43.5" customHeight="1">
      <c r="B5" s="27" t="s">
        <v>41</v>
      </c>
      <c r="C5" s="28" t="s">
        <v>102</v>
      </c>
      <c r="D5" s="29" t="s">
        <v>103</v>
      </c>
      <c r="E5" s="30">
        <v>3</v>
      </c>
      <c r="F5" s="31" t="s">
        <v>100</v>
      </c>
      <c r="G5" s="14" t="s">
        <v>104</v>
      </c>
    </row>
    <row r="6" spans="2:7" ht="43.5" customHeight="1">
      <c r="B6" s="27" t="s">
        <v>41</v>
      </c>
      <c r="C6" s="28" t="s">
        <v>105</v>
      </c>
      <c r="D6" s="29" t="s">
        <v>106</v>
      </c>
      <c r="E6" s="30">
        <v>2</v>
      </c>
      <c r="F6" s="31" t="s">
        <v>100</v>
      </c>
      <c r="G6" s="14" t="s">
        <v>107</v>
      </c>
    </row>
    <row r="7" spans="2:7" ht="43.5" customHeight="1">
      <c r="B7" s="32" t="s">
        <v>41</v>
      </c>
      <c r="C7" s="28" t="s">
        <v>108</v>
      </c>
      <c r="D7" s="29" t="s">
        <v>109</v>
      </c>
      <c r="E7" s="30">
        <v>3</v>
      </c>
      <c r="F7" s="31" t="s">
        <v>100</v>
      </c>
      <c r="G7" s="14" t="s">
        <v>110</v>
      </c>
    </row>
    <row r="8" spans="2:7" ht="43.5" customHeight="1">
      <c r="B8" s="32" t="s">
        <v>35</v>
      </c>
      <c r="C8" s="28" t="s">
        <v>111</v>
      </c>
      <c r="D8" s="29" t="s">
        <v>112</v>
      </c>
      <c r="E8" s="30">
        <v>8</v>
      </c>
      <c r="F8" s="31" t="s">
        <v>100</v>
      </c>
      <c r="G8" s="14" t="s">
        <v>113</v>
      </c>
    </row>
    <row r="9" spans="2:7" ht="43.5" customHeight="1">
      <c r="B9" s="32" t="s">
        <v>35</v>
      </c>
      <c r="C9" s="28" t="s">
        <v>114</v>
      </c>
      <c r="D9" s="29" t="s">
        <v>115</v>
      </c>
      <c r="E9" s="30">
        <v>5</v>
      </c>
      <c r="F9" s="31" t="s">
        <v>100</v>
      </c>
      <c r="G9" s="14" t="s">
        <v>116</v>
      </c>
    </row>
    <row r="10" spans="2:7" ht="43.5" customHeight="1">
      <c r="B10" s="33" t="s">
        <v>35</v>
      </c>
      <c r="C10" s="28" t="s">
        <v>117</v>
      </c>
      <c r="D10" s="29" t="s">
        <v>118</v>
      </c>
      <c r="E10" s="30">
        <v>8</v>
      </c>
      <c r="F10" s="31" t="s">
        <v>100</v>
      </c>
      <c r="G10" s="14" t="s">
        <v>119</v>
      </c>
    </row>
    <row r="11" spans="2:7" ht="43.5" customHeight="1">
      <c r="B11" s="33" t="s">
        <v>50</v>
      </c>
      <c r="C11" s="28" t="s">
        <v>120</v>
      </c>
      <c r="D11" s="29" t="s">
        <v>121</v>
      </c>
      <c r="E11" s="30">
        <v>8</v>
      </c>
      <c r="F11" s="31" t="s">
        <v>100</v>
      </c>
      <c r="G11" s="14" t="s">
        <v>122</v>
      </c>
    </row>
    <row r="12" spans="2:7" ht="43.5" customHeight="1">
      <c r="B12" s="32" t="s">
        <v>55</v>
      </c>
      <c r="C12" s="28" t="s">
        <v>123</v>
      </c>
      <c r="D12" s="29" t="s">
        <v>124</v>
      </c>
      <c r="E12" s="30">
        <v>5</v>
      </c>
      <c r="F12" s="31" t="s">
        <v>100</v>
      </c>
      <c r="G12" s="14" t="s">
        <v>125</v>
      </c>
    </row>
    <row r="13" spans="2:7" ht="43.5" customHeight="1">
      <c r="B13" s="32" t="s">
        <v>58</v>
      </c>
      <c r="C13" s="28" t="s">
        <v>126</v>
      </c>
      <c r="D13" s="29" t="s">
        <v>127</v>
      </c>
      <c r="E13" s="30">
        <v>5</v>
      </c>
      <c r="F13" s="31" t="s">
        <v>100</v>
      </c>
      <c r="G13" s="14" t="s">
        <v>128</v>
      </c>
    </row>
    <row r="14" spans="2:7" ht="43.5" customHeight="1">
      <c r="B14" s="32" t="s">
        <v>61</v>
      </c>
      <c r="C14" s="28" t="s">
        <v>129</v>
      </c>
      <c r="D14" s="29" t="s">
        <v>130</v>
      </c>
      <c r="E14" s="30">
        <v>5</v>
      </c>
      <c r="F14" s="31" t="s">
        <v>100</v>
      </c>
      <c r="G14" s="14" t="s">
        <v>131</v>
      </c>
    </row>
    <row r="15" spans="2:7" ht="15" customHeight="1">
      <c r="B15" s="42" t="s">
        <v>132</v>
      </c>
      <c r="C15" s="43"/>
      <c r="D15" s="43"/>
      <c r="E15" s="34">
        <f>SUM(E4:E14)</f>
        <v>57</v>
      </c>
      <c r="F15" s="35"/>
      <c r="G15" s="35"/>
    </row>
    <row r="17" spans="2:7" ht="16.149999999999999" customHeight="1">
      <c r="B17" s="4" t="s">
        <v>133</v>
      </c>
    </row>
    <row r="18" spans="2:7" ht="23.85" customHeight="1">
      <c r="B18" s="41" t="s">
        <v>134</v>
      </c>
      <c r="C18" s="43"/>
      <c r="D18" s="43"/>
      <c r="E18" s="43"/>
      <c r="F18" s="43"/>
      <c r="G18" s="43"/>
    </row>
    <row r="20" spans="2:7" ht="15" customHeight="1">
      <c r="B20" s="37" t="s">
        <v>135</v>
      </c>
      <c r="C20" s="43"/>
      <c r="D20" s="43"/>
      <c r="E20" s="43"/>
      <c r="F20" s="43"/>
      <c r="G20" s="43"/>
    </row>
    <row r="21" spans="2:7" ht="15" customHeight="1">
      <c r="B21" s="24"/>
      <c r="C21" s="24"/>
      <c r="D21" s="25"/>
      <c r="E21" s="24"/>
      <c r="F21" s="24"/>
      <c r="G21" s="25"/>
    </row>
    <row r="22" spans="2:7" ht="15" customHeight="1">
      <c r="B22" s="24"/>
      <c r="C22" s="24"/>
      <c r="D22" s="25"/>
      <c r="E22" s="24"/>
      <c r="F22" s="24"/>
      <c r="G22" s="25"/>
    </row>
    <row r="23" spans="2:7" ht="15" customHeight="1">
      <c r="B23" s="24"/>
      <c r="C23" s="24"/>
      <c r="D23" s="25"/>
      <c r="E23" s="24"/>
      <c r="F23" s="24"/>
      <c r="G23" s="25"/>
    </row>
    <row r="24" spans="2:7" ht="15" customHeight="1">
      <c r="B24" s="24"/>
      <c r="C24" s="24"/>
      <c r="D24" s="25"/>
      <c r="E24" s="24"/>
      <c r="F24" s="24"/>
      <c r="G24" s="25"/>
    </row>
    <row r="25" spans="2:7" ht="15" customHeight="1">
      <c r="B25" s="24"/>
      <c r="C25" s="24"/>
      <c r="D25" s="25"/>
      <c r="E25" s="24"/>
      <c r="F25" s="24"/>
      <c r="G25" s="25"/>
    </row>
    <row r="26" spans="2:7" ht="15" customHeight="1">
      <c r="B26" s="24"/>
      <c r="C26" s="24"/>
      <c r="D26" s="25"/>
      <c r="E26" s="24"/>
      <c r="F26" s="24"/>
      <c r="G26" s="25"/>
    </row>
    <row r="27" spans="2:7" ht="15" customHeight="1">
      <c r="B27" s="24"/>
      <c r="C27" s="24"/>
      <c r="D27" s="25"/>
      <c r="E27" s="24"/>
      <c r="F27" s="24"/>
      <c r="G27" s="25"/>
    </row>
    <row r="28" spans="2:7" ht="15" customHeight="1">
      <c r="B28" s="24"/>
      <c r="C28" s="24"/>
      <c r="D28" s="25"/>
      <c r="E28" s="24"/>
      <c r="F28" s="24"/>
      <c r="G28" s="25"/>
    </row>
    <row r="29" spans="2:7" ht="15" customHeight="1">
      <c r="B29" s="24"/>
      <c r="C29" s="24"/>
      <c r="D29" s="25"/>
      <c r="E29" s="24"/>
      <c r="F29" s="24"/>
      <c r="G29" s="25"/>
    </row>
    <row r="30" spans="2:7" ht="15" customHeight="1">
      <c r="B30" s="24"/>
      <c r="C30" s="24"/>
      <c r="D30" s="25"/>
      <c r="E30" s="24"/>
      <c r="F30" s="24"/>
      <c r="G30" s="25"/>
    </row>
    <row r="33" spans="2:2" ht="15" customHeight="1">
      <c r="B33" s="3" t="s">
        <v>89</v>
      </c>
    </row>
  </sheetData>
  <mergeCells count="5">
    <mergeCell ref="B2:G2"/>
    <mergeCell ref="B20:G20"/>
    <mergeCell ref="B1:G1"/>
    <mergeCell ref="B18:G18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>0</cp:revision>
  <dcterms:created xsi:type="dcterms:W3CDTF">2026-04-13T07:09:33Z</dcterms:created>
  <dcterms:modified xsi:type="dcterms:W3CDTF">2026-07-02T15:43:41Z</dcterms:modified>
  <cp:category/>
  <cp:contentStatus/>
</cp:coreProperties>
</file>