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Garde" sheetId="1" state="visible" r:id="rId1"/>
    <sheet xmlns:r="http://schemas.openxmlformats.org/officeDocument/2006/relationships" name="Identification" sheetId="2" state="visible" r:id="rId2"/>
    <sheet xmlns:r="http://schemas.openxmlformats.org/officeDocument/2006/relationships" name="Release Planning" sheetId="3" state="visible" r:id="rId3"/>
    <sheet xmlns:r="http://schemas.openxmlformats.org/officeDocument/2006/relationships" name="Burnup global" sheetId="4" state="visible" r:id="rId4"/>
    <sheet xmlns:r="http://schemas.openxmlformats.org/officeDocument/2006/relationships" name="Auto-évaluation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31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E1B4B"/>
      <sz val="72"/>
    </font>
    <font>
      <name val="Calibri"/>
      <charset val="1"/>
      <family val="0"/>
      <b val="1"/>
      <color rgb="FF1E1B4B"/>
      <sz val="14"/>
    </font>
    <font>
      <name val="Calibri"/>
      <charset val="1"/>
      <family val="0"/>
      <b val="1"/>
      <color rgb="FFF59E0B"/>
      <sz val="10"/>
    </font>
    <font>
      <name val="Calibri"/>
      <charset val="1"/>
      <family val="0"/>
      <b val="1"/>
      <color rgb="FF1E1B4B"/>
      <sz val="24"/>
    </font>
    <font>
      <name val="Calibri"/>
      <charset val="1"/>
      <family val="0"/>
      <i val="1"/>
      <color rgb="FF475569"/>
      <sz val="12"/>
    </font>
    <font>
      <name val="Calibri"/>
      <charset val="1"/>
      <family val="0"/>
      <b val="1"/>
      <color rgb="FF475569"/>
      <sz val="11"/>
    </font>
    <font>
      <name val="Calibri"/>
      <charset val="1"/>
      <family val="0"/>
      <i val="1"/>
      <color rgb="FF475569"/>
      <sz val="9"/>
    </font>
    <font>
      <name val="Calibri"/>
      <charset val="1"/>
      <family val="0"/>
      <b val="1"/>
      <color rgb="FFF59E0B"/>
      <sz val="12"/>
    </font>
    <font>
      <name val="Calibri"/>
      <charset val="1"/>
      <family val="0"/>
      <i val="1"/>
      <color rgb="FF475569"/>
      <sz val="10"/>
    </font>
    <font>
      <name val="Calibri"/>
      <charset val="1"/>
      <family val="0"/>
      <b val="1"/>
      <color rgb="FF1E1B4B"/>
      <sz val="11"/>
    </font>
    <font>
      <name val="Calibri"/>
      <charset val="1"/>
      <family val="0"/>
      <i val="1"/>
      <color rgb="FF0000FF"/>
      <sz val="11"/>
      <u val="single"/>
    </font>
    <font>
      <name val="Calibri"/>
      <charset val="1"/>
      <family val="0"/>
      <b val="1"/>
      <color rgb="FFF59E0B"/>
      <sz val="9"/>
    </font>
    <font>
      <name val="Calibri"/>
      <charset val="1"/>
      <family val="0"/>
      <b val="1"/>
      <color rgb="FF1E1B4B"/>
      <sz val="18"/>
    </font>
    <font>
      <name val="Calibri"/>
      <charset val="1"/>
      <family val="0"/>
      <b val="1"/>
      <color rgb="FF16A34A"/>
      <sz val="10"/>
    </font>
    <font>
      <name val="Calibri"/>
      <charset val="1"/>
      <family val="0"/>
      <b val="1"/>
      <color rgb="FFDC2626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color rgb="FF1E1B4B"/>
      <sz val="10"/>
    </font>
    <font>
      <name val="Calibri"/>
      <charset val="1"/>
      <family val="0"/>
      <color rgb="FFB45309"/>
      <sz val="10"/>
    </font>
    <font>
      <name val="Calibri"/>
      <charset val="1"/>
      <family val="0"/>
      <color rgb="FFDC2626"/>
      <sz val="10"/>
    </font>
    <font>
      <name val="Calibri"/>
      <charset val="1"/>
      <family val="0"/>
      <color rgb="FF16A34A"/>
      <sz val="10"/>
    </font>
    <font>
      <name val="Calibri"/>
      <charset val="1"/>
      <family val="0"/>
      <b val="1"/>
      <color rgb="FF1E1B4B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charset val="1"/>
      <family val="0"/>
      <color rgb="FF0000FF"/>
      <sz val="11"/>
      <u val="single"/>
    </font>
    <font>
      <b val="1"/>
      <sz val="13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EEF2FF"/>
        <bgColor rgb="FFF8FAFC"/>
      </patternFill>
    </fill>
    <fill>
      <patternFill patternType="solid">
        <fgColor rgb="FFFFFFFF"/>
        <bgColor rgb="FFF8FAFC"/>
      </patternFill>
    </fill>
    <fill>
      <patternFill patternType="solid">
        <fgColor rgb="FFFFFBEB"/>
        <bgColor rgb="FFF8FAFC"/>
      </patternFill>
    </fill>
    <fill>
      <patternFill patternType="solid">
        <fgColor rgb="FFFEF3C7"/>
        <bgColor rgb="FFFFFBEB"/>
      </patternFill>
    </fill>
    <fill>
      <patternFill patternType="solid">
        <fgColor rgb="FFDCFCE7"/>
        <bgColor rgb="FFEEF2FF"/>
      </patternFill>
    </fill>
    <fill>
      <patternFill patternType="solid">
        <fgColor rgb="FFE0E7FF"/>
        <bgColor rgb="FFEEF2FF"/>
      </patternFill>
    </fill>
    <fill>
      <patternFill patternType="solid">
        <fgColor rgb="002C3E5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2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3" borderId="1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general" vertical="center" wrapText="1"/>
    </xf>
    <xf numFmtId="0" fontId="20" fillId="4" borderId="2" applyAlignment="1" pivotButton="0" quotePrefix="0" xfId="0">
      <alignment horizontal="general" vertical="center" wrapText="1"/>
    </xf>
    <xf numFmtId="0" fontId="20" fillId="4" borderId="2" applyAlignment="1" pivotButton="0" quotePrefix="0" xfId="0">
      <alignment horizontal="center" vertical="center"/>
    </xf>
    <xf numFmtId="0" fontId="20" fillId="5" borderId="2" applyAlignment="1" pivotButton="0" quotePrefix="0" xfId="0">
      <alignment horizontal="general" vertical="top" wrapText="1"/>
    </xf>
    <xf numFmtId="0" fontId="20" fillId="6" borderId="2" applyAlignment="1" pivotButton="0" quotePrefix="0" xfId="0">
      <alignment horizontal="general" vertical="top" wrapText="1"/>
    </xf>
    <xf numFmtId="0" fontId="20" fillId="7" borderId="2" applyAlignment="1" pivotButton="0" quotePrefix="0" xfId="0">
      <alignment horizontal="general" vertical="top" wrapText="1"/>
    </xf>
    <xf numFmtId="0" fontId="13" fillId="8" borderId="2" applyAlignment="1" pivotButton="0" quotePrefix="0" xfId="0">
      <alignment horizontal="general" vertical="center" wrapText="1"/>
    </xf>
    <xf numFmtId="0" fontId="20" fillId="8" borderId="2" applyAlignment="1" pivotButton="0" quotePrefix="0" xfId="0">
      <alignment horizontal="general" vertical="center" wrapText="1"/>
    </xf>
    <xf numFmtId="0" fontId="20" fillId="8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general" vertical="bottom"/>
    </xf>
    <xf numFmtId="0" fontId="12" fillId="9" borderId="2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0" fillId="0" borderId="2" applyAlignment="1" pivotButton="0" quotePrefix="0" xfId="0">
      <alignment horizontal="general" vertical="top" wrapText="1"/>
    </xf>
    <xf numFmtId="0" fontId="24" fillId="0" borderId="2" applyAlignment="1" pivotButton="0" quotePrefix="0" xfId="0">
      <alignment horizontal="general" vertical="top" wrapText="1"/>
    </xf>
    <xf numFmtId="0" fontId="24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 wrapText="1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2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3" borderId="1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general" vertical="center" wrapText="1"/>
    </xf>
    <xf numFmtId="0" fontId="20" fillId="4" borderId="2" applyAlignment="1" pivotButton="0" quotePrefix="0" xfId="0">
      <alignment horizontal="general" vertical="center" wrapText="1"/>
    </xf>
    <xf numFmtId="0" fontId="20" fillId="4" borderId="2" applyAlignment="1" pivotButton="0" quotePrefix="0" xfId="0">
      <alignment horizontal="center" vertical="center"/>
    </xf>
    <xf numFmtId="0" fontId="20" fillId="5" borderId="2" applyAlignment="1" pivotButton="0" quotePrefix="0" xfId="0">
      <alignment horizontal="general" vertical="top" wrapText="1"/>
    </xf>
    <xf numFmtId="0" fontId="20" fillId="6" borderId="2" applyAlignment="1" pivotButton="0" quotePrefix="0" xfId="0">
      <alignment horizontal="general" vertical="top" wrapText="1"/>
    </xf>
    <xf numFmtId="0" fontId="20" fillId="7" borderId="2" applyAlignment="1" pivotButton="0" quotePrefix="0" xfId="0">
      <alignment horizontal="general" vertical="top" wrapText="1"/>
    </xf>
    <xf numFmtId="0" fontId="13" fillId="8" borderId="2" applyAlignment="1" pivotButton="0" quotePrefix="0" xfId="0">
      <alignment horizontal="general" vertical="center" wrapText="1"/>
    </xf>
    <xf numFmtId="0" fontId="20" fillId="8" borderId="2" applyAlignment="1" pivotButton="0" quotePrefix="0" xfId="0">
      <alignment horizontal="general" vertical="center" wrapText="1"/>
    </xf>
    <xf numFmtId="0" fontId="20" fillId="8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general" vertical="bottom"/>
    </xf>
    <xf numFmtId="0" fontId="12" fillId="9" borderId="2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0" fillId="0" borderId="2" applyAlignment="1" pivotButton="0" quotePrefix="0" xfId="0">
      <alignment horizontal="general" vertical="top" wrapText="1"/>
    </xf>
    <xf numFmtId="0" fontId="24" fillId="0" borderId="2" applyAlignment="1" pivotButton="0" quotePrefix="0" xfId="0">
      <alignment horizontal="general" vertical="top" wrapText="1"/>
    </xf>
    <xf numFmtId="0" fontId="24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 wrapText="1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general" vertical="center" wrapText="1"/>
    </xf>
    <xf numFmtId="0" fontId="29" fillId="0" borderId="0" applyAlignment="1" pivotButton="0" quotePrefix="0" xfId="0">
      <alignment horizontal="general" vertical="bottom"/>
    </xf>
    <xf numFmtId="0" fontId="30" fillId="10" borderId="0" applyAlignment="1" pivotButton="0" quotePrefix="0" xfId="0">
      <alignment horizont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B8B8B"/>
      <rgbColor rgb="FF9999FF"/>
      <rgbColor rgb="FF993366"/>
      <rgbColor rgb="FFFEF3C7"/>
      <rgbColor rgb="FFDCFCE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E0E7FF"/>
      <rgbColor rgb="FFFFFBEB"/>
      <rgbColor rgb="FF99CCFF"/>
      <rgbColor rgb="FFFF99CC"/>
      <rgbColor rgb="FFCC99FF"/>
      <rgbColor rgb="FFF8FAFC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Burnup - EduTutor IA (Done vs Scope)</a:t>
            </a:r>
          </a:p>
        </rich>
      </tx>
    </title>
    <plotArea>
      <lineChart>
        <grouping val="standard"/>
        <ser>
          <idx val="0"/>
          <order val="0"/>
          <tx>
            <strRef>
              <f>'Burnup global'!A5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'Burnup global'!$B$4:$G$4</f>
            </numRef>
          </cat>
          <val>
            <numRef>
              <f>'Burnup global'!$B$5:$G$5</f>
            </numRef>
          </val>
        </ser>
        <ser>
          <idx val="1"/>
          <order val="1"/>
          <tx>
            <strRef>
              <f>'Burnup global'!A6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'Burnup global'!$B$4:$G$4</f>
            </numRef>
          </cat>
          <val>
            <numRef>
              <f>'Burnup global'!$B$6:$G$6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Story points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4" customWidth="1" style="41" min="1" max="1"/>
    <col width="90" customWidth="1" style="41" min="2" max="2"/>
    <col width="8.710000000000001" customWidth="1" style="41" min="3" max="26"/>
  </cols>
  <sheetData>
    <row r="1"/>
    <row r="2" ht="85.8" customHeight="1" s="42">
      <c r="B2" s="43" t="inlineStr">
        <is>
          <t>A</t>
        </is>
      </c>
    </row>
    <row r="3"/>
    <row r="4" ht="17.35" customHeight="1" s="42">
      <c r="B4" s="44" t="inlineStr">
        <is>
          <t>APOCAL'IPSSI</t>
        </is>
      </c>
    </row>
    <row r="5"/>
    <row r="6"/>
    <row r="7"/>
    <row r="8" ht="15" customHeight="1" s="42">
      <c r="B8" s="45" t="inlineStr">
        <is>
          <t>CADRAGE MATINAL · ARTEFACT 5 SUR 7</t>
        </is>
      </c>
    </row>
    <row r="9"/>
    <row r="10" ht="29.15" customHeight="1" s="42">
      <c r="B10" s="46" t="inlineStr">
        <is>
          <t>Release Planning</t>
        </is>
      </c>
    </row>
    <row r="11"/>
    <row r="12" ht="15" customHeight="1" s="42">
      <c r="B12" s="47" t="inlineStr">
        <is>
          <t>Planning des 7 sprints demi-journée et des 2 releases d'EduTutor IA</t>
        </is>
      </c>
    </row>
    <row r="13"/>
    <row r="14"/>
    <row r="15"/>
    <row r="16"/>
    <row r="17"/>
    <row r="18"/>
    <row r="19"/>
    <row r="20" ht="15" customHeight="1" s="42">
      <c r="B20" s="48" t="inlineStr">
        <is>
          <t>Projet EduTutor IA · Édition 2026 · Semaine immersive Scrum</t>
        </is>
      </c>
    </row>
    <row r="21" ht="15.75" customHeight="1" s="42">
      <c r="B21" s="49" t="inlineStr">
        <is>
          <t>Auteur : Mohamed Amine EL AFRIT · Licence CC BY-NC-SA 4.0</t>
        </is>
      </c>
    </row>
    <row r="22" ht="15.75" customHeight="1" s="42"/>
    <row r="23" ht="15.75" customHeight="1" s="42"/>
    <row r="24" ht="15.75" customHeight="1" s="42"/>
    <row r="25" ht="15.75" customHeight="1" s="42"/>
    <row r="26" ht="15.75" customHeight="1" s="42"/>
    <row r="27" ht="15.75" customHeight="1" s="42"/>
    <row r="28" ht="15.75" customHeight="1" s="42"/>
    <row r="29" ht="15.75" customHeight="1" s="42"/>
    <row r="30" ht="15.75" customHeight="1" s="42"/>
    <row r="31" ht="15.75" customHeight="1" s="42"/>
    <row r="32" ht="15.75" customHeight="1" s="42"/>
    <row r="33" ht="15.75" customHeight="1" s="42"/>
    <row r="34" ht="15.75" customHeight="1" s="42"/>
    <row r="35" ht="15.75" customHeight="1" s="42"/>
    <row r="36" ht="15.75" customHeight="1" s="42"/>
    <row r="37" ht="15.75" customHeight="1" s="42"/>
    <row r="38" ht="15.75" customHeight="1" s="42"/>
    <row r="39" ht="15.75" customHeight="1" s="42"/>
    <row r="40" ht="15.75" customHeight="1" s="42"/>
    <row r="41" ht="15.75" customHeight="1" s="42"/>
    <row r="42" ht="15.75" customHeight="1" s="42"/>
    <row r="43" ht="15.75" customHeight="1" s="42"/>
    <row r="44" ht="15.75" customHeight="1" s="42"/>
    <row r="45" ht="15.75" customHeight="1" s="42"/>
    <row r="46" ht="15.75" customHeight="1" s="42"/>
    <row r="47" ht="15.75" customHeight="1" s="42"/>
    <row r="48" ht="15.75" customHeight="1" s="42"/>
    <row r="49" ht="15.75" customHeight="1" s="42"/>
    <row r="50" ht="15.75" customHeight="1" s="42"/>
    <row r="51" ht="15.75" customHeight="1" s="42"/>
    <row r="52" ht="15.75" customHeight="1" s="42"/>
    <row r="53" ht="15.75" customHeight="1" s="42"/>
    <row r="54" ht="15.75" customHeight="1" s="42"/>
    <row r="55" ht="15.75" customHeight="1" s="42"/>
    <row r="56" ht="15.75" customHeight="1" s="42"/>
    <row r="57" ht="15.75" customHeight="1" s="42"/>
    <row r="58" ht="15.75" customHeight="1" s="42"/>
    <row r="59" ht="15.75" customHeight="1" s="42"/>
    <row r="60" ht="15.75" customHeight="1" s="42"/>
    <row r="61" ht="15.75" customHeight="1" s="42"/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" customWidth="1" style="41" min="1" max="1"/>
    <col width="25" customWidth="1" style="41" min="2" max="2"/>
    <col width="60" customWidth="1" style="41" min="3" max="3"/>
    <col width="8.710000000000001" customWidth="1" style="41" min="4" max="26"/>
  </cols>
  <sheetData>
    <row r="1" ht="15" customHeight="1" s="42"/>
    <row r="2" ht="15" customHeight="1" s="42">
      <c r="B2" s="50" t="inlineStr">
        <is>
          <t>IDENTIFICATION DU DOCUMENT</t>
        </is>
      </c>
    </row>
    <row r="3" ht="15" customHeight="1" s="42">
      <c r="B3" s="51" t="inlineStr">
        <is>
          <t>À compléter par l'équipe avant chaque remise</t>
        </is>
      </c>
    </row>
    <row r="4" ht="15" customHeight="1" s="42"/>
    <row r="5" ht="21.75" customHeight="1" s="42">
      <c r="B5" s="52" t="inlineStr">
        <is>
          <t>Équipe n°</t>
        </is>
      </c>
      <c r="C5" s="53" t="inlineStr">
        <is>
          <t>11</t>
        </is>
      </c>
    </row>
    <row r="6" ht="21.75" customHeight="1" s="42">
      <c r="B6" s="52" t="inlineStr">
        <is>
          <t>Membres</t>
        </is>
      </c>
      <c r="C6" s="53" t="inlineStr">
        <is>
          <t>Azeddine AMARI, Frederick TOUFIK, Hugo HAVET, Redouane ID SOUGOU, Romain LEFEVRE, Seer MENSAH-ASSIAKOLEY, Thi Van Anh NGUYEN</t>
        </is>
      </c>
    </row>
    <row r="7" ht="21.75" customHeight="1" s="42">
      <c r="B7" s="52" t="inlineStr">
        <is>
          <t>Sprint concerné</t>
        </is>
      </c>
      <c r="C7" s="53" t="inlineStr">
        <is>
          <t>Suivi Sprints 1-3 (clos) → Sprint 4</t>
        </is>
      </c>
    </row>
    <row r="8" ht="21.75" customHeight="1" s="42">
      <c r="B8" s="52" t="inlineStr">
        <is>
          <t>Version</t>
        </is>
      </c>
      <c r="C8" s="53" t="inlineStr">
        <is>
          <t>v3.0</t>
        </is>
      </c>
    </row>
    <row r="9" ht="21.75" customHeight="1" s="42">
      <c r="B9" s="52" t="inlineStr">
        <is>
          <t>Date de remise</t>
        </is>
      </c>
      <c r="C9" s="53" t="inlineStr">
        <is>
          <t>02/07/2026 (clôture Sprint 3 - Release 1 livrée et taggée v1.0.0-mvp)</t>
        </is>
      </c>
    </row>
    <row r="10" ht="21.75" customHeight="1" s="42">
      <c r="B10" s="52" t="inlineStr">
        <is>
          <t>Statut</t>
        </is>
      </c>
      <c r="C10" s="53" t="inlineStr">
        <is>
          <t>v3.0 - Sprints 1-3 clos et ré-audités : Release 1 (MVP + sécurité LLM + RGPD/SAR) livrée le 01/07 à 23h03, tag v1.0.0-mvp + release GitHub avec démo vidéo ; Sprint 4 (jeudi 02/07, J4) planifié : perturbation J4, Release 2 (tag v1.1.0) et préparation soutenance ; burnup global recalé sur le scope réel (71 SP + 8 stretch)</t>
        </is>
      </c>
    </row>
    <row r="11" ht="15" customHeight="1" s="42"/>
    <row r="12" ht="15" customHeight="1" s="42">
      <c r="B12" s="54" t="inlineStr">
        <is>
          <t>💡 Convention de nommage du fichier :</t>
        </is>
      </c>
    </row>
    <row r="13" ht="15" customHeight="1" s="42">
      <c r="B13" s="49" t="inlineStr">
        <is>
          <t>equipe-XX-nom-document-vY.Z.xlsx  (ex. equipe-03-product-backlog-v1.0.xlsx)</t>
        </is>
      </c>
    </row>
    <row r="21" ht="15.75" customHeight="1" s="42"/>
    <row r="22" ht="15.75" customHeight="1" s="42"/>
    <row r="23" ht="15.75" customHeight="1" s="42"/>
    <row r="24" ht="15.75" customHeight="1" s="42"/>
    <row r="25" ht="15.75" customHeight="1" s="42"/>
    <row r="26" ht="15.75" customHeight="1" s="42"/>
    <row r="27" ht="15.75" customHeight="1" s="42"/>
    <row r="28" ht="15.75" customHeight="1" s="42"/>
    <row r="29" ht="15.75" customHeight="1" s="42"/>
    <row r="30" ht="15.75" customHeight="1" s="42"/>
    <row r="31" ht="15.75" customHeight="1" s="42"/>
    <row r="32" ht="15.75" customHeight="1" s="42"/>
    <row r="33" ht="15.75" customHeight="1" s="42"/>
    <row r="34" ht="15.75" customHeight="1" s="42"/>
    <row r="35" ht="15.75" customHeight="1" s="42"/>
    <row r="36" ht="15.75" customHeight="1" s="42"/>
    <row r="37" ht="15.75" customHeight="1" s="42"/>
    <row r="38" ht="15.75" customHeight="1" s="42"/>
    <row r="39" ht="15.75" customHeight="1" s="42"/>
    <row r="40" ht="15.75" customHeight="1" s="42"/>
    <row r="41" ht="15.75" customHeight="1" s="42"/>
    <row r="42" ht="15.75" customHeight="1" s="42"/>
    <row r="43" ht="15.75" customHeight="1" s="42"/>
    <row r="44" ht="15.75" customHeight="1" s="42"/>
    <row r="45" ht="15.75" customHeight="1" s="42"/>
    <row r="46" ht="15.75" customHeight="1" s="42"/>
    <row r="47" ht="15.75" customHeight="1" s="42"/>
    <row r="48" ht="15.75" customHeight="1" s="42"/>
    <row r="49" ht="15.75" customHeight="1" s="42"/>
    <row r="50" ht="15.75" customHeight="1" s="42"/>
    <row r="51" ht="15.75" customHeight="1" s="42"/>
    <row r="52" ht="15.75" customHeight="1" s="42"/>
    <row r="53" ht="15.75" customHeight="1" s="42"/>
    <row r="54" ht="15.75" customHeight="1" s="42"/>
    <row r="55" ht="15.75" customHeight="1" s="42"/>
    <row r="56" ht="15.75" customHeight="1" s="42"/>
    <row r="57" ht="15.75" customHeight="1" s="42"/>
    <row r="58" ht="15.75" customHeight="1" s="42"/>
    <row r="59" ht="15.75" customHeight="1" s="42"/>
    <row r="60" ht="15.75" customHeight="1" s="42"/>
    <row r="61" ht="15.75" customHeight="1" s="42"/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B11" activeCellId="0" sqref="B11"/>
    </sheetView>
  </sheetViews>
  <sheetFormatPr baseColWidth="8" defaultColWidth="14.43359375" defaultRowHeight="15" zeroHeight="0" outlineLevelRow="0"/>
  <cols>
    <col width="12" customWidth="1" style="41" min="1" max="1"/>
    <col width="16" customWidth="1" style="41" min="2" max="2"/>
    <col width="14" customWidth="1" style="41" min="3" max="5"/>
    <col width="38" customWidth="1" style="41" min="6" max="6"/>
    <col width="28" customWidth="1" style="41" min="7" max="7"/>
    <col width="22" customWidth="1" style="41" min="8" max="8"/>
    <col width="8.710000000000001" customWidth="1" style="41" min="9" max="26"/>
  </cols>
  <sheetData>
    <row r="1" ht="22.05" customHeight="1" s="42">
      <c r="A1" s="55" t="inlineStr">
        <is>
          <t>RELEASE PLANNING : SEMAINE APOCAL'IPSSI 2026 - v3.2 accessibilite</t>
        </is>
      </c>
    </row>
    <row r="2" ht="15" customHeight="1" s="42">
      <c r="A2" s="51" t="inlineStr">
        <is>
          <t>7 sprints × demi-journée + cadrage matinal + soutenance vendredi</t>
        </is>
      </c>
    </row>
    <row r="3"/>
    <row r="4" ht="15" customHeight="1" s="42">
      <c r="A4" s="45" t="inlineStr">
        <is>
          <t>💡 OBJECTIF</t>
        </is>
      </c>
      <c r="B4" s="51" t="inlineStr">
        <is>
          <t>Vue d'ensemble de la semaine : objectif et stories engagées par sprint, capacité réaliste, vélocité cible.</t>
        </is>
      </c>
    </row>
    <row r="5" ht="15" customHeight="1" s="42">
      <c r="A5" s="45" t="inlineStr">
        <is>
          <t>📐 FORMAT</t>
        </is>
      </c>
      <c r="B5" s="51" t="inlineStr">
        <is>
          <t>9 lignes (Cadrage + 7 sprints + Soutenance) × 8 colonnes. Tag US-XX en colonne stories pour traçabilité Product Backlog.</t>
        </is>
      </c>
    </row>
    <row r="6" ht="15" customHeight="1" s="42">
      <c r="A6" s="56" t="inlineStr">
        <is>
          <t>✅ BON</t>
        </is>
      </c>
      <c r="B6" s="51" t="inlineStr">
        <is>
          <t>« Sprint 1 : Objectif = setup MVP F1 + F2 · Capacité 28 h-pers · Vélocité 10 SP · Stories US-01, US-02 »</t>
        </is>
      </c>
    </row>
    <row r="7" ht="15" customHeight="1" s="42">
      <c r="A7" s="57" t="inlineStr">
        <is>
          <t>❌ À ÉVITER</t>
        </is>
      </c>
      <c r="B7" s="51" t="inlineStr">
        <is>
          <t>« Sprint 1 : faire du progrès » (ni mesurable, ni vérifiable en revue de sprint)</t>
        </is>
      </c>
    </row>
    <row r="8"/>
    <row r="9" ht="28.35" customHeight="1" s="42">
      <c r="A9" s="58" t="inlineStr">
        <is>
          <t>Sprint</t>
        </is>
      </c>
      <c r="B9" s="58" t="inlineStr">
        <is>
          <t>Jour</t>
        </is>
      </c>
      <c r="C9" s="58" t="inlineStr">
        <is>
          <t>Horaires</t>
        </is>
      </c>
      <c r="D9" s="58" t="inlineStr">
        <is>
          <t>Capacité (h-pers)</t>
        </is>
      </c>
      <c r="E9" s="58" t="inlineStr">
        <is>
          <t>Vélocité cible (SP)</t>
        </is>
      </c>
      <c r="F9" s="58" t="inlineStr">
        <is>
          <t>Objectif sprint</t>
        </is>
      </c>
      <c r="G9" s="58" t="inlineStr">
        <is>
          <t>Stories engagées</t>
        </is>
      </c>
      <c r="H9" s="58" t="inlineStr">
        <is>
          <t>Release / Jalon</t>
        </is>
      </c>
    </row>
    <row r="10" ht="45" customHeight="1" s="42">
      <c r="A10" s="59" t="inlineStr">
        <is>
          <t>Cadrage</t>
        </is>
      </c>
      <c r="B10" s="60" t="inlineStr">
        <is>
          <t>Lundi matin</t>
        </is>
      </c>
      <c r="C10" s="60" t="inlineStr">
        <is>
          <t>9h00 – 13h30</t>
        </is>
      </c>
      <c r="D10" s="61" t="n">
        <v>24.5</v>
      </c>
      <c r="E10" s="61" t="inlineStr">
        <is>
          <t>n.c.</t>
        </is>
      </c>
      <c r="F10" s="60" t="inlineStr">
        <is>
          <t>Produire les 7 artefacts agiles (Vision, Personas, Customer Journey, Story Map, Release Planning, Product Backlog, Sprint Backlog)</t>
        </is>
      </c>
      <c r="G10" s="60" t="inlineStr">
        <is>
          <t>n.c.</t>
        </is>
      </c>
      <c r="H10" s="60" t="inlineStr">
        <is>
          <t>📋 Validation PO 14h00</t>
        </is>
      </c>
    </row>
    <row r="11" ht="45" customHeight="1" s="42">
      <c r="A11" s="62" t="inlineStr">
        <is>
          <t>Sprint 1 ✅</t>
        </is>
      </c>
      <c r="B11" s="62" t="inlineStr">
        <is>
          <t>Mardi soir</t>
        </is>
      </c>
      <c r="C11" s="62" t="inlineStr">
        <is>
          <t>session étendue</t>
        </is>
      </c>
      <c r="D11" s="62" t="n">
        <v>53</v>
      </c>
      <c r="E11" s="62" t="inlineStr">
        <is>
          <t>33 (réel)</t>
        </is>
      </c>
      <c r="F11" s="62" t="inlineStr">
        <is>
          <t>MVP F1-F6 livré intégralement + bonus US-07/US-17 + amorce US-11/US-23 (partielles)</t>
        </is>
      </c>
      <c r="G11" s="62" t="inlineStr">
        <is>
          <t>US-01,02,03,04,05,06,07,17,11*,23*</t>
        </is>
      </c>
      <c r="H11" s="62" t="inlineStr">
        <is>
          <t>✅ Terminé - 33 SP livrés (idéal 8 SP)</t>
        </is>
      </c>
    </row>
    <row r="12" ht="45" customHeight="1" s="42">
      <c r="A12" s="63" t="inlineStr">
        <is>
          <t>Sprint 2 ✅ (ré-audité)</t>
        </is>
      </c>
      <c r="B12" s="63" t="inlineStr">
        <is>
          <t>Mercredi</t>
        </is>
      </c>
      <c r="C12" s="63" t="inlineStr">
        <is>
          <t>journée</t>
        </is>
      </c>
      <c r="D12" s="63" t="n">
        <v>24.5</v>
      </c>
      <c r="E12" s="63" t="inlineStr">
        <is>
          <t>21 (réel, post ré-audit)</t>
        </is>
      </c>
      <c r="F12" s="63" t="inlineStr">
        <is>
          <t>Pivot J3 (double perturbation) : sécurisation LLM anti prompt-injection (OWASP LLM-01) + conformité RGPD (Art. 15/17/20 : export ZIP, consentement, audit trail). Reliquats S1 soldés (US-11 agrégation chapitre, US-23 barre + polling). Démo MVP 17h45, tag v1.0.0-mvp.</t>
        </is>
      </c>
      <c r="G12" s="63" t="inlineStr">
        <is>
          <t>US-SEC-01, US-SEC-02, US-SEC-03, US-RGPD-01 (ex US-12), US-RGPD-02 (ex US-22) · US-11*, US-23* reportées</t>
        </is>
      </c>
      <c r="H12" s="63" t="inlineStr">
        <is>
          <t>⚡ J3 Sécurité LLM &amp; RGPD (mercredi 10h) · 🚀 Release 1 (MVP) démo 17h45 - la re-vérification du code (01/07 après-midi) a levé l'alerte de l'audit du matin : US-SEC-02/03, US-RGPD-01/02, US-11, US-23 confirmés Done ; seul le reliquat Ollama (US-SEC-01) a glissé en Sprint 3</t>
        </is>
      </c>
    </row>
    <row r="13" ht="45" customHeight="1" s="42">
      <c r="A13" s="62" t="inlineStr">
        <is>
          <t>Sprint 3 ✅</t>
        </is>
      </c>
      <c r="B13" s="62" t="inlineStr">
        <is>
          <t>Mercredi soir</t>
        </is>
      </c>
      <c r="C13" s="62" t="inlineStr">
        <is>
          <t>17h – 23h</t>
        </is>
      </c>
      <c r="D13" s="62" t="n">
        <v>24.5</v>
      </c>
      <c r="E13" s="62" t="inlineStr">
        <is>
          <t>12 (réel)</t>
        </is>
      </c>
      <c r="F13" s="62" t="inlineStr">
        <is>
          <t>Rôle enseignant ouvert (US-26 : signup dédié) + dashboard de classe livré fonctionnellement (US-T1, DoD close en S4) + perturbation J3-bis RGPD/SAR traitée intégralement (US-J3B-1..5 : audit trail SAR, export JSON, politique de rétention, lettre SAR, tests QA) + reliquat Ollama soldé (US-SEC-01 clos).</t>
        </is>
      </c>
      <c r="G13" s="62" t="inlineStr">
        <is>
          <t>US-26, US-T1*, US-J3B-1..5, US-SEC-01 (clôture)</t>
        </is>
      </c>
      <c r="H13" s="62" t="inlineStr">
        <is>
          <t>⚡ J3-bis RGPD/SAR (mercredi 10h30, intégrée au Sprint 3) · ✅ Clos 01/07 23h03 - 14/14 tâches Done, tag v1.0.0-mvp + release GitHub + démo vidéo</t>
        </is>
      </c>
    </row>
    <row r="14" ht="45" customHeight="1" s="42">
      <c r="A14" s="63" t="inlineStr">
        <is>
          <t>Sprint 4 (J4, en cours)</t>
        </is>
      </c>
      <c r="B14" s="63" t="inlineStr">
        <is>
          <t>Jeudi</t>
        </is>
      </c>
      <c r="C14" s="63" t="inlineStr">
        <is>
          <t>journée</t>
        </is>
      </c>
      <c r="D14" s="63" t="n">
        <v>24.5</v>
      </c>
      <c r="E14" s="63" t="inlineStr">
        <is>
          <t>5 + réserve J4</t>
        </is>
      </c>
      <c r="F14" s="63" t="inlineStr">
        <is>
          <t>Absorber la perturbation J4 (réserve 5 h) · clôturer US-T1 (T-T1.4 polish + tests) · Release 2 : tag v1.1.0 + notes de version · préparer la soutenance (rapport de gestion Scrum, slides, fiches rétro des 5 perturbations, mise à jour Miro).</t>
        </is>
      </c>
      <c r="G14" s="63" t="inlineStr">
        <is>
          <t>US-J4 (perturbation), US-T1 (clôture DoD), préparation soutenance</t>
        </is>
      </c>
      <c r="H14" s="63" t="inlineStr">
        <is>
          <t>⚡ J4 « Mme Lefèvre revient » (jeudi 10h) · 🚀 Release 2 (tag v1.1.0) en fin de journée · Volet a11y J4 : 5 US EP-13 (18 SP) descendues au backlog, planifiees Release 3 (aucune engagee en S4).</t>
        </is>
      </c>
    </row>
    <row r="15" ht="45" customHeight="1" s="42">
      <c r="A15" s="64" t="inlineStr">
        <is>
          <t>Sprint 5 (buffer)</t>
        </is>
      </c>
      <c r="B15" s="64" t="inlineStr">
        <is>
          <t>Vendredi matin</t>
        </is>
      </c>
      <c r="C15" s="64" t="inlineStr">
        <is>
          <t>avant soutenance</t>
        </is>
      </c>
      <c r="D15" s="64" t="n">
        <v>2.5</v>
      </c>
      <c r="E15" s="64" t="inlineStr">
        <is>
          <t>n.c.</t>
        </is>
      </c>
      <c r="F15" s="64" t="inlineStr">
        <is>
          <t>Buffer pré-soutenance : répétition générale chronométrée, derniers correctifs slides/rapport, setup démo + vidéo de secours.</t>
        </is>
      </c>
      <c r="G15" s="64" t="inlineStr">
        <is>
          <t>n.c.</t>
        </is>
      </c>
      <c r="H15" s="64" t="inlineStr">
        <is>
          <t>-</t>
        </is>
      </c>
    </row>
    <row r="16" ht="45" customHeight="1" s="42">
      <c r="A16" s="63" t="inlineStr">
        <is>
          <t>Sprint 6</t>
        </is>
      </c>
      <c r="B16" s="63" t="inlineStr">
        <is>
          <t>buffer</t>
        </is>
      </c>
      <c r="C16" s="63" t="inlineStr">
        <is>
          <t>non utilisé</t>
        </is>
      </c>
      <c r="D16" s="63" t="n">
        <v>0</v>
      </c>
      <c r="E16" s="63" t="inlineStr">
        <is>
          <t>n.c.</t>
        </is>
      </c>
      <c r="F16" s="63" t="inlineStr">
        <is>
          <t>Plan condensé sur 5 sprints (voir Sprint Backlog v2.0) - créneau gardé en réserve si dérive.</t>
        </is>
      </c>
      <c r="G16" s="63" t="inlineStr">
        <is>
          <t>n.c.</t>
        </is>
      </c>
      <c r="H16" s="63" t="inlineStr">
        <is>
          <t>-</t>
        </is>
      </c>
    </row>
    <row r="17" ht="45" customHeight="1" s="42">
      <c r="A17" s="64" t="inlineStr">
        <is>
          <t>Sprint 7</t>
        </is>
      </c>
      <c r="B17" s="64" t="inlineStr">
        <is>
          <t>buffer</t>
        </is>
      </c>
      <c r="C17" s="64" t="inlineStr">
        <is>
          <t>non utilisé</t>
        </is>
      </c>
      <c r="D17" s="64" t="n">
        <v>0</v>
      </c>
      <c r="E17" s="64" t="inlineStr">
        <is>
          <t>n.c.</t>
        </is>
      </c>
      <c r="F17" s="64" t="inlineStr">
        <is>
          <t>Plan condensé sur 5 sprints (voir Sprint Backlog v2.0) - créneau gardé en réserve si dérive.</t>
        </is>
      </c>
      <c r="G17" s="64" t="inlineStr">
        <is>
          <t>n.c.</t>
        </is>
      </c>
      <c r="H17" s="64" t="inlineStr">
        <is>
          <t>-</t>
        </is>
      </c>
    </row>
    <row r="18" ht="45" customHeight="1" s="42">
      <c r="A18" s="65" t="inlineStr">
        <is>
          <t>Soutenance</t>
        </is>
      </c>
      <c r="B18" s="66" t="inlineStr">
        <is>
          <t>Vendredi</t>
        </is>
      </c>
      <c r="C18" s="66" t="inlineStr">
        <is>
          <t>Selon planning</t>
        </is>
      </c>
      <c r="D18" s="67" t="inlineStr">
        <is>
          <t>n.c.</t>
        </is>
      </c>
      <c r="E18" s="67" t="inlineStr">
        <is>
          <t>n.c.</t>
        </is>
      </c>
      <c r="F18" s="66" t="inlineStr">
        <is>
          <t>Pitch (15 min) centré sur la GESTION Scrum du projet : perturbations absorbées, redispatch justifié par les faits (git), trajectoire des artefacts v1.0 → v3.0, burndown/burnup + démo MVP/R2 + retour réflexif + Q/R jury</t>
        </is>
      </c>
      <c r="G18" s="66" t="inlineStr">
        <is>
          <t>n.c.</t>
        </is>
      </c>
      <c r="H18" s="66" t="inlineStr">
        <is>
          <t>🎤 Soutenance + délibération</t>
        </is>
      </c>
    </row>
    <row r="19" ht="15" customHeight="1" s="42">
      <c r="A19" s="68" t="inlineStr">
        <is>
          <t>TOTAL semaine</t>
        </is>
      </c>
      <c r="B19" s="69" t="n"/>
      <c r="C19" s="69" t="n"/>
      <c r="D19" s="68" t="n">
        <v>203</v>
      </c>
      <c r="E19" s="68" t="inlineStr">
        <is>
          <t>~ 50-60 SP</t>
        </is>
      </c>
      <c r="F19" s="70" t="inlineStr">
        <is>
          <t>Capacité totale = 203.0 h-pers (équipe de 7 personnes)</t>
        </is>
      </c>
      <c r="G19" s="69" t="n"/>
      <c r="H19" s="69" t="n"/>
    </row>
    <row r="20">
      <c r="A20" s="65" t="inlineStr">
        <is>
          <t>🎯 Release 3 - Accessibilite (J4)</t>
        </is>
      </c>
      <c r="B20" s="66" t="inlineStr">
        <is>
          <t>post-levee de fonds</t>
        </is>
      </c>
      <c r="C20" s="66" t="n"/>
      <c r="D20" s="67" t="n"/>
      <c r="E20" s="67" t="n"/>
      <c r="F20" s="66" t="inlineStr">
        <is>
          <t>Porte de sortie (exit gate) RGAA : taux de conformite cible atteint sur les 7 ecrans audites (audit + corrections prioritaires + declaration).</t>
        </is>
      </c>
      <c r="G20" s="66" t="inlineStr">
        <is>
          <t>US-J4-06/07 (MUST), US-J4-08/09 (SHOULD), US-J4-13 (COULD)</t>
        </is>
      </c>
      <c r="H20" s="66" t="inlineStr">
        <is>
          <t>🚫 Bloquant deploiement service public tant que la porte RGAA n'est pas franchie (risque R2)</t>
        </is>
      </c>
    </row>
    <row r="21" ht="15.75" customHeight="1" s="42">
      <c r="A21" s="45" t="inlineStr">
        <is>
          <t>📌 LÉGENDE</t>
        </is>
      </c>
    </row>
    <row r="22" ht="15.75" customHeight="1" s="42">
      <c r="A22" s="71" t="inlineStr">
        <is>
          <t>🟦 Sprint Review</t>
        </is>
      </c>
      <c r="B22" s="51" t="inlineStr">
        <is>
          <t>Démo des stories à la fin du sprint + validation PO</t>
        </is>
      </c>
    </row>
    <row r="23" ht="15.75" customHeight="1" s="42">
      <c r="A23" s="72" t="inlineStr">
        <is>
          <t>⚡ Perturbation</t>
        </is>
      </c>
      <c r="B23" s="51" t="inlineStr">
        <is>
          <t>Événement imprévu déclenché par l'équipe pédagogique, voir page Perturbations du site</t>
        </is>
      </c>
    </row>
    <row r="24" ht="15.75" customHeight="1" s="42">
      <c r="A24" s="73" t="inlineStr">
        <is>
          <t>🚀 Release</t>
        </is>
      </c>
      <c r="B24" s="51" t="inlineStr">
        <is>
          <t>Livraison incrément potentiellement déployable (tag Git + démo enregistrable)</t>
        </is>
      </c>
    </row>
    <row r="25" ht="15.75" customHeight="1" s="42">
      <c r="A25" s="74" t="inlineStr">
        <is>
          <t>🎤 Soutenance</t>
        </is>
      </c>
      <c r="B25" s="51" t="inlineStr">
        <is>
          <t>Pitch + démo + retour réflexif + Q/R jury (vendredi)</t>
        </is>
      </c>
    </row>
    <row r="26" ht="15.75" customHeight="1" s="42"/>
    <row r="27" ht="15.75" customHeight="1" s="42"/>
    <row r="28" ht="15.75" customHeight="1" s="42"/>
    <row r="29" ht="15.75" customHeight="1" s="42"/>
    <row r="30" ht="15.75" customHeight="1" s="42"/>
    <row r="31" ht="15.75" customHeight="1" s="42"/>
    <row r="32" ht="15.75" customHeight="1" s="42"/>
    <row r="33" ht="15.75" customHeight="1" s="42"/>
    <row r="34" ht="15.75" customHeight="1" s="42"/>
    <row r="35" ht="15.75" customHeight="1" s="42"/>
    <row r="36" ht="15.75" customHeight="1" s="42"/>
    <row r="37" ht="15.75" customHeight="1" s="42"/>
    <row r="38" ht="15.75" customHeight="1" s="42"/>
    <row r="39" ht="15.75" customHeight="1" s="42"/>
    <row r="40" ht="15.75" customHeight="1" s="42"/>
    <row r="41" ht="15.75" customHeight="1" s="42"/>
    <row r="42" ht="15.75" customHeight="1" s="42"/>
    <row r="43" ht="15.75" customHeight="1" s="42"/>
    <row r="44" ht="15.75" customHeight="1" s="42"/>
    <row r="45" ht="15.75" customHeight="1" s="42"/>
    <row r="46" ht="15.75" customHeight="1" s="42"/>
    <row r="47" ht="15.75" customHeight="1" s="42"/>
    <row r="48" ht="15.75" customHeight="1" s="42"/>
    <row r="49" ht="15.75" customHeight="1" s="42"/>
    <row r="50" ht="15.75" customHeight="1" s="42"/>
    <row r="51" ht="15.75" customHeight="1" s="42"/>
    <row r="52" ht="15.75" customHeight="1" s="42"/>
    <row r="53" ht="15.75" customHeight="1" s="42"/>
    <row r="54" ht="15.75" customHeight="1" s="42"/>
    <row r="55" ht="15.75" customHeight="1" s="42"/>
    <row r="56" ht="15.75" customHeight="1" s="42"/>
    <row r="57" ht="15.75" customHeight="1" s="42"/>
    <row r="58" ht="15.75" customHeight="1" s="42"/>
    <row r="59" ht="15.75" customHeight="1" s="42"/>
    <row r="60" ht="15.75" customHeight="1" s="42"/>
    <row r="61" ht="15.75" customHeight="1" s="42"/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4" customWidth="1" style="41" min="1" max="1"/>
    <col width="9" customWidth="1" style="41" min="2" max="2"/>
    <col width="9" customWidth="1" style="41" min="3" max="4"/>
    <col width="9" customWidth="1" style="42" min="4" max="4"/>
    <col width="9" customWidth="1" style="41" min="5" max="5"/>
    <col width="9" customWidth="1" style="41" min="6" max="26"/>
    <col width="9" customWidth="1" style="42" min="7" max="7"/>
  </cols>
  <sheetData>
    <row r="1" ht="22.05" customHeight="1" s="42">
      <c r="A1" s="81" t="inlineStr">
        <is>
          <t>BURNUP CHART - EduTutor IA (volet accessibilite, chap.13)</t>
        </is>
      </c>
    </row>
    <row r="2" ht="15" customHeight="1" s="42">
      <c r="A2" s="51" t="inlineStr">
        <is>
          <t>2 courbes : Done (SP cumules livres) + Scope (perimetre total). La perturbation J4 injecte l'accessibilite (+18 SP en Sprint 4) : le scope monte de 71 a 89 SP -&gt; scope creep visible. Consolide 3 axes = 135 SP. Volet accessibilite : Van Anh &amp; Seer.</t>
        </is>
      </c>
    </row>
    <row r="3"/>
    <row r="4" ht="15" customHeight="1" s="42">
      <c r="A4" s="82" t="inlineStr">
        <is>
          <t>Metrique</t>
        </is>
      </c>
      <c r="B4" s="82" t="inlineStr">
        <is>
          <t>Debut</t>
        </is>
      </c>
      <c r="C4" s="82" t="inlineStr">
        <is>
          <t>Sprint 1</t>
        </is>
      </c>
      <c r="D4" s="82" t="inlineStr">
        <is>
          <t>Sprint 2</t>
        </is>
      </c>
      <c r="E4" s="82" t="inlineStr">
        <is>
          <t>Sprint 3</t>
        </is>
      </c>
      <c r="F4" s="82" t="inlineStr">
        <is>
          <t>Sprint 4</t>
        </is>
      </c>
      <c r="G4" s="82" t="inlineStr">
        <is>
          <t>Sprint 5</t>
        </is>
      </c>
    </row>
    <row r="5" ht="15" customHeight="1" s="42">
      <c r="A5" s="56" t="inlineStr">
        <is>
          <t>Done (SP cumules)</t>
        </is>
      </c>
      <c r="B5" s="51" t="n">
        <v>0</v>
      </c>
      <c r="C5" s="41" t="n">
        <v>33</v>
      </c>
      <c r="D5" s="41" t="n">
        <v>54</v>
      </c>
      <c r="E5" s="41" t="n">
        <v>66</v>
      </c>
      <c r="F5" s="41" t="n">
        <v>71</v>
      </c>
      <c r="G5" s="41" t="n">
        <v>71</v>
      </c>
    </row>
    <row r="6" ht="15" customHeight="1" s="42">
      <c r="A6" s="45" t="inlineStr">
        <is>
          <t>Scope (SP total)</t>
        </is>
      </c>
      <c r="B6" s="51" t="n">
        <v>71</v>
      </c>
      <c r="C6" s="41" t="n">
        <v>71</v>
      </c>
      <c r="D6" s="41" t="n">
        <v>71</v>
      </c>
      <c r="E6" s="41" t="n">
        <v>71</v>
      </c>
      <c r="F6" s="41" t="n">
        <v>89</v>
      </c>
      <c r="G6" s="41" t="n">
        <v>89</v>
      </c>
    </row>
    <row r="7">
      <c r="A7" s="41" t="inlineStr">
        <is>
          <t>Velocite (SP/sprint)</t>
        </is>
      </c>
      <c r="B7" s="41" t="inlineStr">
        <is>
          <t>-</t>
        </is>
      </c>
      <c r="C7" s="41">
        <f>C5-B5</f>
        <v/>
      </c>
      <c r="D7" s="41">
        <f>D5-C5</f>
        <v/>
      </c>
      <c r="E7" s="41">
        <f>E5-D5</f>
        <v/>
      </c>
      <c r="F7" s="41">
        <f>F5-E5</f>
        <v/>
      </c>
      <c r="G7" s="41">
        <f>G5-F5</f>
        <v/>
      </c>
    </row>
    <row r="8" ht="15" customHeight="1" s="42">
      <c r="A8" s="58" t="inlineStr">
        <is>
          <t>Reste (Scope - Done)</t>
        </is>
      </c>
      <c r="B8" s="58">
        <f>B6-B5</f>
        <v/>
      </c>
      <c r="C8" s="58">
        <f>C6-C5</f>
        <v/>
      </c>
      <c r="D8" s="58">
        <f>D6-D5</f>
        <v/>
      </c>
      <c r="E8" s="58">
        <f>E6-E5</f>
        <v/>
      </c>
      <c r="F8" s="41">
        <f>F6-F5</f>
        <v/>
      </c>
      <c r="G8" s="41">
        <f>G6-G5</f>
        <v/>
      </c>
      <c r="H8" s="41" t="n"/>
      <c r="I8" s="41" t="n"/>
    </row>
    <row r="9" ht="24.75" customHeight="1" s="42">
      <c r="A9" s="75" t="inlineStr">
        <is>
          <t>Scope creep (delta scope)</t>
        </is>
      </c>
      <c r="B9" s="75" t="inlineStr">
        <is>
          <t>-</t>
        </is>
      </c>
      <c r="C9" s="76">
        <f>C6-B6</f>
        <v/>
      </c>
      <c r="D9" s="76">
        <f>D6-C6</f>
        <v/>
      </c>
      <c r="E9" s="75">
        <f>E6-D6</f>
        <v/>
      </c>
      <c r="F9" s="41">
        <f>F6-E6</f>
        <v/>
      </c>
      <c r="G9" s="41">
        <f>G6-F6</f>
        <v/>
      </c>
      <c r="H9" s="77" t="n"/>
      <c r="I9" s="77" t="n"/>
    </row>
    <row r="10" ht="24.75" customHeight="1" s="42">
      <c r="A10" s="75" t="inlineStr">
        <is>
          <t>Scope creep cumule</t>
        </is>
      </c>
      <c r="B10" s="75" t="inlineStr">
        <is>
          <t>-</t>
        </is>
      </c>
      <c r="C10" s="76">
        <f>C9</f>
        <v/>
      </c>
      <c r="D10" s="76">
        <f>C10+D9</f>
        <v/>
      </c>
      <c r="E10" s="75">
        <f>D10+E9</f>
        <v/>
      </c>
      <c r="F10" s="41">
        <f>E10+F9</f>
        <v/>
      </c>
      <c r="G10" s="41">
        <f>F10+G9</f>
        <v/>
      </c>
      <c r="H10" s="77" t="n"/>
      <c r="I10" s="77" t="n"/>
    </row>
    <row r="11" ht="24.75" customHeight="1" s="42">
      <c r="A11" s="75" t="n"/>
      <c r="B11" s="75" t="n"/>
      <c r="C11" s="76" t="n"/>
      <c r="D11" s="76" t="n"/>
      <c r="E11" s="75" t="n"/>
      <c r="F11" s="41" t="n"/>
      <c r="H11" s="77" t="n"/>
      <c r="I11" s="77" t="n"/>
    </row>
    <row r="12" ht="24.75" customHeight="1" s="42">
      <c r="A12" s="75" t="inlineStr">
        <is>
          <t>Velocite moyenne</t>
        </is>
      </c>
      <c r="B12" s="75">
        <f>AVERAGE(C7:G7)</f>
        <v/>
      </c>
      <c r="C12" s="76" t="n"/>
      <c r="D12" s="76" t="inlineStr">
        <is>
          <t>SP / sprint</t>
        </is>
      </c>
      <c r="E12" s="75" t="n"/>
      <c r="F12" s="41" t="n"/>
      <c r="H12" s="77" t="n"/>
      <c r="I12" s="77" t="n"/>
    </row>
    <row r="13" ht="24.75" customHeight="1" s="42">
      <c r="A13" s="75" t="inlineStr">
        <is>
          <t>Sprints restants (estim.)</t>
        </is>
      </c>
      <c r="B13" s="75">
        <f>IF(B12&gt;0,G8/B12,0)</f>
        <v/>
      </c>
      <c r="C13" s="76" t="n"/>
      <c r="D13" s="76" t="inlineStr">
        <is>
          <t>Reste a faire / velocite moyenne</t>
        </is>
      </c>
      <c r="E13" s="75" t="n"/>
      <c r="F13" s="41" t="n"/>
      <c r="H13" s="77" t="n"/>
      <c r="I13" s="77" t="n"/>
    </row>
    <row r="14" ht="24.75" customHeight="1" s="42">
      <c r="A14" s="75" t="n"/>
      <c r="B14" s="75" t="n"/>
      <c r="C14" s="76" t="n"/>
      <c r="D14" s="76" t="n"/>
      <c r="E14" s="75" t="n"/>
      <c r="F14" s="41" t="n"/>
      <c r="H14" s="77" t="n"/>
      <c r="I14" s="77" t="n"/>
    </row>
    <row r="15" ht="24.75" customHeight="1" s="42">
      <c r="A15" s="75" t="inlineStr">
        <is>
          <t>Lecture : la courbe Done monte (velocite), la courbe Scope saute au Sprint 4 (accessibilite J4). L'ecart Done/Scope au Sprint 4-5 = 18 SP planifies en Release 3 (EP-13, non engages en Sprint 4).</t>
        </is>
      </c>
      <c r="B15" s="75" t="n"/>
      <c r="C15" s="76" t="n"/>
      <c r="D15" s="76" t="n"/>
      <c r="E15" s="75" t="n"/>
      <c r="F15" s="41" t="n"/>
      <c r="H15" s="77" t="n"/>
      <c r="I15" s="77" t="n"/>
    </row>
    <row r="16" ht="24.75" customHeight="1" s="42">
      <c r="A16" s="75" t="n"/>
      <c r="B16" s="75" t="n"/>
      <c r="C16" s="76" t="n"/>
      <c r="D16" s="76" t="n"/>
      <c r="E16" s="75" t="n"/>
      <c r="F16" s="41" t="n"/>
      <c r="H16" s="77" t="n"/>
      <c r="I16" s="77" t="n"/>
    </row>
    <row r="17"/>
    <row r="18" ht="15" customHeight="1" s="42">
      <c r="A18" s="45" t="n"/>
      <c r="B18" s="49" t="n"/>
    </row>
    <row r="21" ht="15.75" customHeight="1" s="42"/>
    <row r="22" ht="15.75" customHeight="1" s="42"/>
    <row r="23" ht="15.75" customHeight="1" s="42"/>
    <row r="24" ht="15.75" customHeight="1" s="42"/>
    <row r="25" ht="15.75" customHeight="1" s="42"/>
    <row r="26" ht="15.75" customHeight="1" s="42"/>
    <row r="27" ht="15.75" customHeight="1" s="42"/>
    <row r="28" ht="15.75" customHeight="1" s="42"/>
    <row r="29" ht="15.75" customHeight="1" s="42"/>
    <row r="30" ht="15.75" customHeight="1" s="42"/>
    <row r="31" ht="15.75" customHeight="1" s="42"/>
    <row r="32" ht="15.75" customHeight="1" s="42"/>
    <row r="33" ht="15.75" customHeight="1" s="42"/>
    <row r="34" ht="15.75" customHeight="1" s="42"/>
    <row r="35" ht="15.75" customHeight="1" s="42"/>
    <row r="36" ht="15.75" customHeight="1" s="42"/>
    <row r="37" ht="15.75" customHeight="1" s="42"/>
    <row r="38" ht="15.75" customHeight="1" s="42"/>
    <row r="39" ht="15.75" customHeight="1" s="42"/>
    <row r="40" ht="15.75" customHeight="1" s="42"/>
    <row r="41" ht="15.75" customHeight="1" s="42"/>
    <row r="42" ht="15.75" customHeight="1" s="42"/>
    <row r="43" ht="15.75" customHeight="1" s="42"/>
    <row r="44" ht="15.75" customHeight="1" s="42"/>
    <row r="45" ht="15.75" customHeight="1" s="42"/>
    <row r="46" ht="15.75" customHeight="1" s="42"/>
    <row r="47" ht="15.75" customHeight="1" s="42"/>
    <row r="48" ht="15.75" customHeight="1" s="42"/>
    <row r="49" ht="15.75" customHeight="1" s="42"/>
    <row r="50" ht="15.75" customHeight="1" s="42"/>
    <row r="51" ht="15.75" customHeight="1" s="42"/>
    <row r="52" ht="15.75" customHeight="1" s="42"/>
    <row r="53" ht="15.75" customHeight="1" s="42"/>
    <row r="54" ht="15.75" customHeight="1" s="42"/>
    <row r="55" ht="15.75" customHeight="1" s="42"/>
    <row r="56" ht="15.75" customHeight="1" s="42"/>
    <row r="57" ht="15.75" customHeight="1" s="42"/>
    <row r="58" ht="15.75" customHeight="1" s="42"/>
    <row r="59" ht="15.75" customHeight="1" s="42"/>
    <row r="60" ht="15.75" customHeight="1" s="42"/>
    <row r="61" ht="15.75" customHeight="1" s="42"/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" customWidth="1" style="41" min="1" max="1"/>
    <col width="50" customWidth="1" style="41" min="2" max="2"/>
    <col width="25" customWidth="1" style="41" min="3" max="3"/>
    <col width="40" customWidth="1" style="41" min="4" max="4"/>
    <col width="8.710000000000001" customWidth="1" style="41" min="5" max="26"/>
  </cols>
  <sheetData>
    <row r="1"/>
    <row r="2" ht="17.35" customHeight="1" s="42">
      <c r="B2" s="44" t="inlineStr">
        <is>
          <t>✅ Grille d'auto-évaluation</t>
        </is>
      </c>
    </row>
    <row r="3" ht="15" customHeight="1" s="42">
      <c r="B3" s="51" t="inlineStr">
        <is>
          <t>À remplir par l'équipe avant soumission au PO</t>
        </is>
      </c>
    </row>
    <row r="4"/>
    <row r="5" ht="15" customHeight="1" s="42">
      <c r="A5" s="58" t="n"/>
      <c r="B5" s="58" t="inlineStr">
        <is>
          <t>Critère qualité</t>
        </is>
      </c>
      <c r="C5" s="58" t="inlineStr">
        <is>
          <t>Auto-évaluation</t>
        </is>
      </c>
      <c r="D5" s="41" t="inlineStr">
        <is>
          <t>Commentaire / preuve</t>
        </is>
      </c>
    </row>
    <row r="6" ht="30" customHeight="1" s="42">
      <c r="B6" s="78" t="inlineStr">
        <is>
          <t>Les 7 sprints sont planifiés avec jour, horaires et capacité (h-pers) chiffrée</t>
        </is>
      </c>
      <c r="C6" s="79" t="inlineStr">
        <is>
          <t>✔ Oui   ☐ Partiel   ☐ Non</t>
        </is>
      </c>
      <c r="D6" s="80" t="inlineStr">
        <is>
          <t>7 sprints (Cadrage + S1-S7 + Soutenance) : capacité 6-10 h-pers/sprint, vélocité 8 SP cible</t>
        </is>
      </c>
    </row>
    <row r="7" ht="30" customHeight="1" s="42">
      <c r="B7" s="78" t="inlineStr">
        <is>
          <t>L'équipe taille est explicite (ex. 7 personnes), pas de capacité "floue"</t>
        </is>
      </c>
      <c r="C7" s="79" t="inlineStr">
        <is>
          <t>✔ Oui   ☐ Partiel   ☐ Non</t>
        </is>
      </c>
      <c r="D7" s="80" t="inlineStr">
        <is>
          <t>Équipe 7 personnes (cf identification) ; capacité totale ~58 h-pers sur la semaine</t>
        </is>
      </c>
    </row>
    <row r="8" ht="30" customHeight="1" s="42">
      <c r="B8" s="78" t="inlineStr">
        <is>
          <t>Chaque sprint a un objectif clair, mesurable, livrable en démo</t>
        </is>
      </c>
      <c r="C8" s="79" t="inlineStr">
        <is>
          <t>✔ Oui   ☐ Partiel   ☐ Non</t>
        </is>
      </c>
      <c r="D8" s="80" t="inlineStr">
        <is>
          <t>Objectifs réels tracés : S1 MVP F1-F6 + bonus (33 SP) / S2 pivot J3 sécurité+RGPD (21 SP) / S3 enseignant + J3-bis SAR (12 SP) / S4 J4 + Release 2 + soutenance</t>
        </is>
      </c>
    </row>
    <row r="9" ht="30" customHeight="1" s="42">
      <c r="B9" s="78" t="inlineStr">
        <is>
          <t>Chaque sprint liste au moins 1 user story engagée (tag US-XX du Product Backlog)</t>
        </is>
      </c>
      <c r="C9" s="79" t="inlineStr">
        <is>
          <t>✔ Oui   ☐ Partiel   ☐ Non</t>
        </is>
      </c>
      <c r="D9" s="80" t="inlineStr">
        <is>
          <t>Stories taguées : US-01/02 (S1), US-03 (S2), US-04/05 (S3), US-06 (S4), R2 (S6/S7)</t>
        </is>
      </c>
    </row>
    <row r="10" ht="30" customHeight="1" s="42">
      <c r="B10" s="78" t="inlineStr">
        <is>
          <t>La Release 1 (MVP) est explicitement positionnée à la fin du Sprint 5 (mercredi 17h45)</t>
        </is>
      </c>
      <c r="C10" s="79" t="inlineStr">
        <is>
          <t>✔ Oui   ☐ Partiel   ☐ Non</t>
        </is>
      </c>
      <c r="D10" s="80" t="inlineStr">
        <is>
          <t>Release 1 (MVP) livrée mercredi 17h45 comme positionné : tag v1.0.0-mvp + release GitHub + démo vidéo (clôture consolidée 23h03 avec J3-bis)</t>
        </is>
      </c>
    </row>
    <row r="11" ht="30" customHeight="1" s="42">
      <c r="B11" s="78" t="inlineStr">
        <is>
          <t>La Release 2 est explicitement positionnée à la fin du Sprint 7 (jeudi 17h)</t>
        </is>
      </c>
      <c r="C11" s="79" t="inlineStr">
        <is>
          <t>✔ Oui   ☐ Partiel   ☐ Non</t>
        </is>
      </c>
      <c r="D11" s="80" t="inlineStr">
        <is>
          <t>Release 2 positionnée jeudi fin de journée (tag v1.1.0) après clôture US-T1 - conforme au plan condensé sur 5 sprints</t>
        </is>
      </c>
    </row>
    <row r="12" ht="30" customHeight="1" s="42">
      <c r="B12" s="78" t="inlineStr">
        <is>
          <t>Les 5 perturbations sont positionnées sur le planning aux bons créneaux</t>
        </is>
      </c>
      <c r="C12" s="79" t="inlineStr">
        <is>
          <t>✔ Oui   ☐ Partiel   ☐ Non</t>
        </is>
      </c>
      <c r="D12" s="80" t="inlineStr">
        <is>
          <t>5 perturbations positionnées et absorbées : J1 lun 14h / J2 mar 10h / J3 mer 10h / J3-bis mer 10h30 / J4 jeu 10h (réserve de capacité dédiée au Sprint 4)</t>
        </is>
      </c>
    </row>
    <row r="13" ht="30" customHeight="1" s="42">
      <c r="B13" s="78" t="inlineStr">
        <is>
          <t>La feuille Burnup global est remplie avec un scope initial chiffré (~50-60 SP)</t>
        </is>
      </c>
      <c r="C13" s="79" t="inlineStr">
        <is>
          <t>✔ Oui   ☐ Partiel   ☐ Non</t>
        </is>
      </c>
      <c r="D13" s="80" t="inlineStr">
        <is>
          <t>Burnup recalé sur le scope réel : 71 SP + 8 stretch ; réel S1=33, S2=54, S3=66 (cumulés), graphique inséré</t>
        </is>
      </c>
    </row>
    <row r="14" ht="30" customHeight="1" s="42">
      <c r="B14" s="78" t="inlineStr">
        <is>
          <t>Le Release Planning a été co-construit en équipe (toutes les voix entendues)</t>
        </is>
      </c>
      <c r="C14" s="79" t="inlineStr">
        <is>
          <t>✔ Oui   ☐ Partiel   ☐ Non</t>
        </is>
      </c>
      <c r="D14" s="80" t="inlineStr">
        <is>
          <t>Construit par les 7 membres (29/06 19h00) ; validation finale Phase 3 J1</t>
        </is>
      </c>
    </row>
    <row r="21" ht="15.75" customHeight="1" s="42"/>
    <row r="22" ht="15.75" customHeight="1" s="42"/>
    <row r="23" ht="15.75" customHeight="1" s="42"/>
    <row r="24" ht="15.75" customHeight="1" s="42"/>
    <row r="25" ht="15.75" customHeight="1" s="42"/>
    <row r="26" ht="15.75" customHeight="1" s="42"/>
    <row r="27" ht="15.75" customHeight="1" s="42"/>
    <row r="28" ht="15.75" customHeight="1" s="42"/>
    <row r="29" ht="15.75" customHeight="1" s="42"/>
    <row r="30" ht="15.75" customHeight="1" s="42"/>
    <row r="31" ht="15.75" customHeight="1" s="42"/>
    <row r="32" ht="15.75" customHeight="1" s="42"/>
    <row r="33" ht="15.75" customHeight="1" s="42"/>
    <row r="34" ht="15.75" customHeight="1" s="42"/>
    <row r="35" ht="15.75" customHeight="1" s="42"/>
    <row r="36" ht="15.75" customHeight="1" s="42"/>
    <row r="37" ht="15.75" customHeight="1" s="42"/>
    <row r="38" ht="15.75" customHeight="1" s="42"/>
    <row r="39" ht="15.75" customHeight="1" s="42"/>
    <row r="40" ht="15.75" customHeight="1" s="42"/>
    <row r="41" ht="15.75" customHeight="1" s="42"/>
    <row r="42" ht="15.75" customHeight="1" s="42"/>
    <row r="43" ht="15.75" customHeight="1" s="42"/>
    <row r="44" ht="15.75" customHeight="1" s="42"/>
    <row r="45" ht="15.75" customHeight="1" s="42"/>
    <row r="46" ht="15.75" customHeight="1" s="42"/>
    <row r="47" ht="15.75" customHeight="1" s="42"/>
    <row r="48" ht="15.75" customHeight="1" s="42"/>
    <row r="49" ht="15.75" customHeight="1" s="42"/>
    <row r="50" ht="15.75" customHeight="1" s="42"/>
    <row r="51" ht="15.75" customHeight="1" s="42"/>
    <row r="52" ht="15.75" customHeight="1" s="42"/>
    <row r="53" ht="15.75" customHeight="1" s="42"/>
    <row r="54" ht="15.75" customHeight="1" s="42"/>
    <row r="55" ht="15.75" customHeight="1" s="42"/>
    <row r="56" ht="15.75" customHeight="1" s="42"/>
    <row r="57" ht="15.75" customHeight="1" s="42"/>
    <row r="58" ht="15.75" customHeight="1" s="42"/>
    <row r="59" ht="15.75" customHeight="1" s="42"/>
    <row r="60" ht="15.75" customHeight="1" s="42"/>
    <row r="61" ht="15.75" customHeight="1" s="42"/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2026-06-30T15:40:27Z</dcterms:created>
  <dcterms:modified xmlns:dcterms="http://purl.org/dc/terms/" xmlns:xsi="http://www.w3.org/2001/XMLSchema-instance" xsi:type="dcterms:W3CDTF">2026-07-02T15:16:11Z</dcterms:modified>
  <cp:revision>1</cp:revision>
</cp:coreProperties>
</file>