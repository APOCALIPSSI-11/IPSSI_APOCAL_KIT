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rde" sheetId="1" state="visible" r:id="rId3"/>
    <sheet name="Identification" sheetId="2" state="visible" r:id="rId4"/>
    <sheet name="Epics" sheetId="3" state="visible" r:id="rId5"/>
    <sheet name="Backlog" sheetId="4" state="visible" r:id="rId6"/>
    <sheet name="DoR &amp; DoD" sheetId="5" state="visible" r:id="rId7"/>
    <sheet name="Auto-é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<sst xmlns="http://schemas.openxmlformats.org/spreadsheetml/2006/main" count="583" uniqueCount="289">
  <si>
    <t xml:space="preserve">A</t>
  </si>
  <si>
    <t xml:space="preserve">APOCAL'IPSSI</t>
  </si>
  <si>
    <t xml:space="preserve">CADRAGE MATINAL · ARTEFACT 6 SUR 7</t>
  </si>
  <si>
    <t xml:space="preserve">Product Backlog</t>
  </si>
  <si>
    <t xml:space="preserve">20 user stories organisées en 6 epics, avec critères INVEST et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</si>
  <si>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</si>
  <si>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</si>
  <si>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</si>
  <si>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</si>
  <si>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</si>
  <si>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11</t>
  </si>
  <si>
    <t xml:space="preserve">Membres</t>
  </si>
  <si>
    <t xml:space="preserve">Azeddine AMARI, Frederick TOUFIK, Hugo HAVET, Redouane ID SOUGOU, Romain LEFEVRE, Seer MENSAH-ASSIAKOLEY, Thi Van Anh NGUYEN</t>
  </si>
  <si>
    <t xml:space="preserve">Sprint concerné</t>
  </si>
  <si>
    <t xml:space="preserve">Cadrage</t>
  </si>
  <si>
    <t xml:space="preserve">Version</t>
  </si>
  <si>
    <t xml:space="preserve">v2.0</t>
  </si>
  <si>
    <t xml:space="preserve">Date de remise</t>
  </si>
  <si>
    <t xml:space="preserve">30/06/2026 (réorganisation backlog complète)</t>
  </si>
  <si>
    <t xml:space="preserve">Statut</t>
  </si>
  <si>
    <t xml:space="preserve">Draft v2.0 - Backlog réorganisé (INVEST + Planning Poker + capacité S1-S7), à valider PO</t>
  </si>
  <si>
    <t xml:space="preserve">💡 Convention de nommage du fichier :</t>
  </si>
  <si>
    <t xml:space="preserve">equipe-XX-nom-document-vY.Z.xlsx  (ex. equipe-03-product-backlog-v1.0.xlsx)</t>
  </si>
  <si>
    <t xml:space="preserve">EPICS : EDUTUTOR IA — v2.0 (11 épopées)</t>
  </si>
  <si>
    <t xml:space="preserve">6 epics existants (stories enseignant + SP recalculés) + 5 nouveaux epics issus des customer journeys</t>
  </si>
  <si>
    <t xml:space="preserve">💡 OBJECTIF</t>
  </si>
  <si>
    <t xml:space="preserve">Une Epic regroupe plusieurs user stories qui partagent une intention commune. Permet la vue d'ensemble du scope et facilite la priorisation.</t>
  </si>
  <si>
    <t xml:space="preserve">ID</t>
  </si>
  <si>
    <t xml:space="preserve">Epic</t>
  </si>
  <si>
    <t xml:space="preserve">Activité utilisateur (Story Map)</t>
  </si>
  <si>
    <t xml:space="preserve">Stories incluses</t>
  </si>
  <si>
    <t xml:space="preserve">SP total</t>
  </si>
  <si>
    <t xml:space="preserve">EP-01</t>
  </si>
  <si>
    <t xml:space="preserve">Identification utilisateur</t>
  </si>
  <si>
    <t xml:space="preserve">S'inscrire</t>
  </si>
  <si>
    <t xml:space="preserve">US-01, US-07, US-13, US-18, US-22, US-26</t>
  </si>
  <si>
    <t xml:space="preserve">EP-02</t>
  </si>
  <si>
    <t xml:space="preserve">Gestion de contenu</t>
  </si>
  <si>
    <t xml:space="preserve">Uploader un cours</t>
  </si>
  <si>
    <t xml:space="preserve">US-02, US-08, US-14</t>
  </si>
  <si>
    <t xml:space="preserve">EP-03</t>
  </si>
  <si>
    <t xml:space="preserve">Génération de quiz</t>
  </si>
  <si>
    <t xml:space="preserve">Générer un quiz</t>
  </si>
  <si>
    <t xml:space="preserve">US-03, US-09, US-15, US-19</t>
  </si>
  <si>
    <t xml:space="preserve">EP-04</t>
  </si>
  <si>
    <t xml:space="preserve">Passage de quiz</t>
  </si>
  <si>
    <t xml:space="preserve">Passer le quiz</t>
  </si>
  <si>
    <t xml:space="preserve">US-04, US-05, US-10, US-20</t>
  </si>
  <si>
    <t xml:space="preserve">EP-05</t>
  </si>
  <si>
    <t xml:space="preserve">Suivi de progression</t>
  </si>
  <si>
    <t xml:space="preserve">Consulter résultats</t>
  </si>
  <si>
    <t xml:space="preserve">US-06, US-11, US-16, US-T1, US-T2, US-T3</t>
  </si>
  <si>
    <t xml:space="preserve">EP-06</t>
  </si>
  <si>
    <t xml:space="preserve">Conformité &amp; administration</t>
  </si>
  <si>
    <t xml:space="preserve">Gérer son compte (RGPD)</t>
  </si>
  <si>
    <t xml:space="preserve">US-12, US-17, US-28, US-29, US-31</t>
  </si>
  <si>
    <t xml:space="preserve">EP-07</t>
  </si>
  <si>
    <t xml:space="preserve">Acquisition &amp; mise en confiance</t>
  </si>
  <si>
    <t xml:space="preserve">Atterrir &amp; décider</t>
  </si>
  <si>
    <t xml:space="preserve">US-21</t>
  </si>
  <si>
    <t xml:space="preserve">EP-08</t>
  </si>
  <si>
    <t xml:space="preserve">Feedback &amp; guidage temps réel</t>
  </si>
  <si>
    <t xml:space="preserve">US-23, US-27</t>
  </si>
  <si>
    <t xml:space="preserve">EP-09</t>
  </si>
  <si>
    <t xml:space="preserve">Continuité hors-ligne</t>
  </si>
  <si>
    <t xml:space="preserve">US-24</t>
  </si>
  <si>
    <t xml:space="preserve">EP-10</t>
  </si>
  <si>
    <t xml:space="preserve">Partage &amp; viralité</t>
  </si>
  <si>
    <t xml:space="preserve">Partager</t>
  </si>
  <si>
    <t xml:space="preserve">US-25</t>
  </si>
  <si>
    <t xml:space="preserve">EP-11</t>
  </si>
  <si>
    <t xml:space="preserve">Réussite du déploiement établissement</t>
  </si>
  <si>
    <t xml:space="preserve">Déployer l'établissement</t>
  </si>
  <si>
    <t xml:space="preserve">US-30</t>
  </si>
  <si>
    <t xml:space="preserve">TOTAL</t>
  </si>
  <si>
    <t xml:space="preserve">PRODUCT BACKLOG : EDUTUTOR IA — v2.0 réorganisé</t>
  </si>
  <si>
    <t xml:space="preserve">34 user stories (23 existantes + 11 issues des customer journeys) — INVEST, Planning Poker (Fibonacci), capacité S1-S7</t>
  </si>
  <si>
    <t xml:space="preserve">Liste ordonnée et priorisée de TOUTES les fonctionnalités du produit. Source unique de vérité du scope.</t>
  </si>
  <si>
    <t xml:space="preserve">📐 FORMAT INVEST</t>
  </si>
  <si>
    <t xml:space="preserve">Independent · Negotiable · Valuable · Estimable · Small · Testable. Format de phrase : « En tant que [persona], je veux [action] afin de [bénéfice]. »</t>
  </si>
  <si>
    <t xml:space="preserve">✅ BON</t>
  </si>
  <si>
    <t xml:space="preserve">« En tant qu'étudiante, je veux générer un quiz en moins de 60 s à partir de mon PDF, afin de réviser efficacement avant les partiels. »</t>
  </si>
  <si>
    <t xml:space="preserve">❌ À ÉVITER</t>
  </si>
  <si>
    <t xml:space="preserve">« On veut une fonctionnalité de génération » (pas INVEST, ni persona ni bénéfice clair)</t>
  </si>
  <si>
    <t xml:space="preserve">User Story (INVEST)</t>
  </si>
  <si>
    <t xml:space="preserve">Persona</t>
  </si>
  <si>
    <t xml:space="preserve">MoSCoW</t>
  </si>
  <si>
    <t xml:space="preserve">SP</t>
  </si>
  <si>
    <t xml:space="preserve">Critères d'acceptation (3 G/W/T pour MUST)</t>
  </si>
  <si>
    <t xml:space="preserve">DoR</t>
  </si>
  <si>
    <t xml:space="preserve">DoD</t>
  </si>
  <si>
    <t xml:space="preserve">Sprint</t>
  </si>
  <si>
    <t xml:space="preserve">Valeur</t>
  </si>
  <si>
    <t xml:space="preserve">Release</t>
  </si>
  <si>
    <t xml:space="preserve">Remarque INVEST / Planning Poker</t>
  </si>
  <si>
    <t xml:space="preserve">US-01</t>
  </si>
  <si>
    <t xml:space="preserve">En tant qu'étudiant·e, je veux créer un compte avec email et mot de passe, afin de sauvegarder mes quizz et y revenir.</t>
  </si>
  <si>
    <t xml:space="preserve">Étudiant·e</t>
  </si>
  <si>
    <t xml:space="preserve">MUST</t>
  </si>
  <si>
    <t xml:space="preserve">G: visiteur non authentifié sur /signup
W: soumet email valide + mdp ≥ 8 caractères
T: compte créé, email envoyé, redirect /upload</t>
  </si>
  <si>
    <t xml:space="preserve">□</t>
  </si>
  <si>
    <t xml:space="preserve">S1</t>
  </si>
  <si>
    <t xml:space="preserve">Todo</t>
  </si>
  <si>
    <t xml:space="preserve">★★★★★</t>
  </si>
  <si>
    <t xml:space="preserve">R1 (MVP verrouillé)</t>
  </si>
  <si>
    <t xml:space="preserve">US-02</t>
  </si>
  <si>
    <t xml:space="preserve">En tant qu'étudiant·e, je veux uploader un PDF ou saisir un texte de cours, afin de ne pas avoir à recopier mon support.</t>
  </si>
  <si>
    <t xml:space="preserve">G: user authentifié sur /upload
W: dépose PDF ≤ 5 Mo OU texte ≥ 200 car
T: contenu extrait, stocké, bouton 'Générer' visible</t>
  </si>
  <si>
    <t xml:space="preserve">US-03</t>
  </si>
  <si>
    <t xml:space="preserve">En tant qu'étudiant·e, je veux générer un quiz de 10 QCM en moins de 60 s, afin de réviser rapidement un chapitre.</t>
  </si>
  <si>
    <t xml:space="preserve">G: un cours stocké pour l'user
W: clique 'Générer un quiz' sur /quiz
T: 10 QCM générés en &lt; 60 s via Llama 3.1 8B local</t>
  </si>
  <si>
    <t xml:space="preserve">S2</t>
  </si>
  <si>
    <t xml:space="preserve">US-04</t>
  </si>
  <si>
    <t xml:space="preserve">En tant qu'étudiant·e, je veux soumettre mes réponses et obtenir une correction automatique, afin de savoir où je me situe.</t>
  </si>
  <si>
    <t xml:space="preserve">G: un quiz généré et affiché
W: user soumet ses 10 réponses
T: chaque réponse comparée, statut bon/mauvais enregistré</t>
  </si>
  <si>
    <t xml:space="preserve">S3</t>
  </si>
  <si>
    <t xml:space="preserve">US-05</t>
  </si>
  <si>
    <t xml:space="preserve">En tant qu'étudiant·e, je veux voir mon score /10 et le détail bonnes/mauvaises réponses, afin de mesurer ma progression.</t>
  </si>
  <si>
    <t xml:space="preserve">G: un quiz soumis
W: user arrive sur /resultat
T: score /10 affiché + 10 questions avec corrections détaillées</t>
  </si>
  <si>
    <t xml:space="preserve">US-06</t>
  </si>
  <si>
    <t xml:space="preserve">En tant qu'étudiant·e, je veux consulter l'historique de mes quizz passés, afin de suivre mon évolution dans le temps.</t>
  </si>
  <si>
    <t xml:space="preserve">G: user authentifié sur /historique
W: la page se charge
T: liste des quizz triés par date desc, avec titre/date/score/refaire</t>
  </si>
  <si>
    <t xml:space="preserve">S4</t>
  </si>
  <si>
    <t xml:space="preserve">US-07</t>
  </si>
  <si>
    <t xml:space="preserve">En tant qu'étudiant·e, je veux réinitialiser mon mot de passe via email, afin de pouvoir récupérer mon compte sans support.</t>
  </si>
  <si>
    <t xml:space="preserve">SHOULD</t>
  </si>
  <si>
    <t xml:space="preserve">[1 critère type : lien magique valide 24 h, redirect /reset-password]</t>
  </si>
  <si>
    <t xml:space="preserve">S6</t>
  </si>
  <si>
    <t xml:space="preserve">Backlog</t>
  </si>
  <si>
    <t xml:space="preserve">★★★</t>
  </si>
  <si>
    <t xml:space="preserve">Plus tard (R3+)</t>
  </si>
  <si>
    <t xml:space="preserve">US-08</t>
  </si>
  <si>
    <t xml:space="preserve">En tant qu'étudiant·e, je veux une bibliothèque pour mes cours uploadés, afin de retrouver vite mes PDF d'un semestre.</t>
  </si>
  <si>
    <t xml:space="preserve">[1 critère type : page /library liste cours avec date, titre, nb quizz]</t>
  </si>
  <si>
    <t xml:space="preserve">US-09</t>
  </si>
  <si>
    <t xml:space="preserve">En tant qu'étudiant·e, je veux choisir le niveau de difficulté et le nombre de questions (5-20), afin d'adapter à mon temps disponible.</t>
  </si>
  <si>
    <t xml:space="preserve">[1 critère type : 3 niveaux (facile/moyen/dur) + slider 5-20 sur /quiz]</t>
  </si>
  <si>
    <t xml:space="preserve">US-10</t>
  </si>
  <si>
    <t xml:space="preserve">En tant qu'étudiant·e, je veux un mode timer optionnel par question, afin de m'entraîner aux conditions d'examen.</t>
  </si>
  <si>
    <t xml:space="preserve">[1 critère type : toggle ON/OFF + slider 10-30 s configurable]</t>
  </si>
  <si>
    <t xml:space="preserve">S7</t>
  </si>
  <si>
    <t xml:space="preserve">★★</t>
  </si>
  <si>
    <t xml:space="preserve">US-11</t>
  </si>
  <si>
    <t xml:space="preserve">En tant qu'étudiant·e, je veux un dashboard de progression par chapitre, afin de cibler mes révisions sur mes lacunes.</t>
  </si>
  <si>
    <t xml:space="preserve">[1 critère type : page /dashboard avec graphique en barres score / chap.]</t>
  </si>
  <si>
    <t xml:space="preserve">★★★★</t>
  </si>
  <si>
    <t xml:space="preserve">US-12</t>
  </si>
  <si>
    <t xml:space="preserve">En tant qu'utilisateur·trice, je veux exporter toutes mes données en JSON et CSV, afin d'exercer mon droit d'accès Art. 15 RGPD.</t>
  </si>
  <si>
    <t xml:space="preserve">Tous personas</t>
  </si>
  <si>
    <t xml:space="preserve">[1 critère type : bouton export → ZIP avec quizz.json + reponses.csv + audit.json]</t>
  </si>
  <si>
    <t xml:space="preserve">S5</t>
  </si>
  <si>
    <t xml:space="preserve">Obligatoire J3-bis (S5)</t>
  </si>
  <si>
    <t xml:space="preserve">Endpoint export exigé par la perturbation J3-bis (jeudi 09h00) — hors budget SP du candidat Release 2, à livrer en Sprint 5.</t>
  </si>
  <si>
    <t xml:space="preserve">US-13</t>
  </si>
  <si>
    <t xml:space="preserve">En tant qu'étudiant·e, je veux me connecter via Google ou Apple OAuth, afin d'éviter de gérer un énième mot de passe.</t>
  </si>
  <si>
    <t xml:space="preserve">COULD</t>
  </si>
  <si>
    <t xml:space="preserve">[1 critère type : boutons OAuth + provider Django allauth]</t>
  </si>
  <si>
    <t xml:space="preserve">n.c.</t>
  </si>
  <si>
    <t xml:space="preserve">US-14</t>
  </si>
  <si>
    <t xml:space="preserve">En tant qu'étudiant·e, je veux importer un cours depuis une URL web (article, blog), afin d'enrichir mes sources de révision.</t>
  </si>
  <si>
    <t xml:space="preserve">[1 critère type : champ URL + scraping article + filtrage textes parasites]</t>
  </si>
  <si>
    <t xml:space="preserve">US-15</t>
  </si>
  <si>
    <t xml:space="preserve">En tant qu'enseignant·e, je veux générer des questions ouvertes corrigées par le LLM, afin de varier les types d'évaluation.</t>
  </si>
  <si>
    <t xml:space="preserve">Enseignant·e</t>
  </si>
  <si>
    <t xml:space="preserve">[1 critère type : mode 'question ouverte' avec barème indicatif et correction LLM]</t>
  </si>
  <si>
    <t xml:space="preserve">13 SP = seuil de redécoupage (cf cours Ch.08). À redécouper en 2-3 stories plus petites avant toute prise en sprint.</t>
  </si>
  <si>
    <t xml:space="preserve">US-16</t>
  </si>
  <si>
    <t xml:space="preserve">En tant qu'étudiant·e, je veux que l'app identifie mes lacunes par chapitre, afin de me concentrer sur ce qui pèche.</t>
  </si>
  <si>
    <t xml:space="preserve">[1 critère type : algo agrégation scores &lt; 5/10 + tag chapitre concerné]</t>
  </si>
  <si>
    <t xml:space="preserve">US-17</t>
  </si>
  <si>
    <t xml:space="preserve">En tant qu'utilisateur·trice, je veux supprimer mon compte et toutes mes données, afin d'exercer mon droit à l'oubli Art. 17 RGPD.</t>
  </si>
  <si>
    <t xml:space="preserve">[1 critère type : bouton avec confirmation 2-étapes + cron purge 30 j]</t>
  </si>
  <si>
    <t xml:space="preserve">US-18</t>
  </si>
  <si>
    <t xml:space="preserve">En tant que DSI d'établissement, je veux un SSO entreprise SAML/OIDC, afin d'intégrer EduTutor à mon AD/ENT.</t>
  </si>
  <si>
    <t xml:space="preserve">Établissement</t>
  </si>
  <si>
    <t xml:space="preserve">WON'T</t>
  </si>
  <si>
    <t xml:space="preserve">Reporté Release 3+ (cible B2B post-prototype)</t>
  </si>
  <si>
    <t xml:space="preserve">Won't</t>
  </si>
  <si>
    <t xml:space="preserve">Hors scope (WON'T)</t>
  </si>
  <si>
    <t xml:space="preserve">13 SP = seuil de redécoupage. À reconsidérer uniquement si traction B2B réelle en Release 3+.</t>
  </si>
  <si>
    <t xml:space="preserve">US-19</t>
  </si>
  <si>
    <t xml:space="preserve">En tant qu'étudiant·e, je veux discuter avec un chatbot IA pour explorer un sujet, afin d'apprendre par dialogue.</t>
  </si>
  <si>
    <t xml:space="preserve">Hors cible primaire (concurrent direct Khanmigo). Ne pas y aller.</t>
  </si>
  <si>
    <t xml:space="preserve">★</t>
  </si>
  <si>
    <t xml:space="preserve">21 SP = beaucoup trop gros pour une seule story. Hors stratégie produit (concurrent direct Khanmigo) : ne pas redécouper, abandonner.</t>
  </si>
  <si>
    <t xml:space="preserve">US-20</t>
  </si>
  <si>
    <t xml:space="preserve">En tant qu'étudiant·e, je veux affronter d'autres étudiants en mode compétition, afin d'ajouter du fun à la révision.</t>
  </si>
  <si>
    <t xml:space="preserve">Hors scope vision (apprentissage personnalisé, pas gamification compétitive)</t>
  </si>
  <si>
    <t xml:space="preserve">13 SP = seuil de redécoupage. Hors stratégie produit (gamification compétitive) : ne pas redécouper, abandonner.</t>
  </si>
  <si>
    <t xml:space="preserve">US-T1</t>
  </si>
  <si>
    <t xml:space="preserve">En tant que Mme Lefèvre, je veux un tableau de bord de classe (moyenne, taux de réussite, points faibles), afin d'identifier rapidement les notions à retravailler.</t>
  </si>
  <si>
    <t xml:space="preserve">G: enseignant authentifié sur /dashboard-classe
W: la page se charge
T: voit moyenne classe + taux réussite + 3 thèmes les plus faibles</t>
  </si>
  <si>
    <t xml:space="preserve">R2 candidate (S6)</t>
  </si>
  <si>
    <t xml:space="preserve">Cœur de la proposition de valeur enseignant — conservé prioritaire dans le budget Release 2.</t>
  </si>
  <si>
    <t xml:space="preserve">US-T2</t>
  </si>
  <si>
    <t xml:space="preserve">En tant que Mme Lefèvre, je veux appliquer des filtres (période, chapitre, quiz), afin d'analyser finement les performances de mes 28 étudiants.</t>
  </si>
  <si>
    <t xml:space="preserve">G: dashboard ouvert
W: applique un filtre période/chapitre/quiz
T: vue rafraîchie en &lt; 2 s avec données filtrées</t>
  </si>
  <si>
    <t xml:space="preserve">Plus tard / stretch S7</t>
  </si>
  <si>
    <t xml:space="preserve">Extension naturelle de US-T1 ; à tenter en Sprint 7 si la vélocité réelle du Sprint 6 le permet.</t>
  </si>
  <si>
    <t xml:space="preserve">US-T3</t>
  </si>
  <si>
    <t xml:space="preserve">En tant que Mme Lefèvre, je veux envoyer des conseils et alertes de révision personnalisés aux étudiants ciblés, afin de les aider à combler leurs lacunes.</t>
  </si>
  <si>
    <t xml:space="preserve">G : la liste des élèves en décrochage est visible.
W : elle clique sur "Envoyer conseil".
T : l'étudiant reçoit un mail avec la ressource associée.</t>
  </si>
  <si>
    <t xml:space="preserve">En tant que visiteuse, je veux voir des témoignages d'étudiants sur la landing page, afin d'avoir confiance avant de m'inscrire.</t>
  </si>
  <si>
    <t xml:space="preserve">[1 critère type : section témoignages avec 3 avatars + citations sur la landing page]</t>
  </si>
  <si>
    <t xml:space="preserve">Backlog R3+</t>
  </si>
  <si>
    <t xml:space="preserve">US-22</t>
  </si>
  <si>
    <t xml:space="preserve">En tant qu'étudiant·e, je veux voir un encart RGPD clair pendant l'inscription, afin d'être rassurée sur l'usage de mes données.</t>
  </si>
  <si>
    <t xml:space="preserve">G: user sur /signup W: voit l'encart RGPD avant validation T: encart affiché avec lien politique de confidentialité</t>
  </si>
  <si>
    <t xml:space="preserve">Complète US-26 sur le même écran d'inscription.</t>
  </si>
  <si>
    <t xml:space="preserve">US-23</t>
  </si>
  <si>
    <t xml:space="preserve">En tant qu'étudiant·e, je veux voir une progression visible pendant la génération du quiz, afin de ne pas croire que l'application a planté.</t>
  </si>
  <si>
    <t xml:space="preserve">G: quiz en cours de génération W: l'attente dépasse 2 s T: barre de progression / spinner visible, rafraîchi toutes les 5 s</t>
  </si>
  <si>
    <t xml:space="preserve">R2 candidate (S6) ⚠ prioritaire</t>
  </si>
  <si>
    <t xml:space="preserve">Corrige le moment de décrochage n°1 identifié sur le customer journey de Léa (étape 3).</t>
  </si>
  <si>
    <t xml:space="preserve">En tant qu'étudiant·e, je veux consulter mon historique sans connexion, afin de réviser dans les transports.</t>
  </si>
  <si>
    <t xml:space="preserve">[1 critère type : cache local (IndexedDB/service worker) de l'historique des 10 derniers quizz]</t>
  </si>
  <si>
    <t xml:space="preserve">8 SP : nécessite une stratégie de cache/synchronisation, pas un simple CRUD.</t>
  </si>
  <si>
    <t xml:space="preserve">En tant qu'étudiant·e, je veux partager un quiz avec mes amies de promo, afin qu'on révise ensemble.</t>
  </si>
  <si>
    <t xml:space="preserve">[1 critère type : lien de partage généré, quiz accessible en lecture par le destinataire]</t>
  </si>
  <si>
    <t xml:space="preserve">US-26</t>
  </si>
  <si>
    <t xml:space="preserve">En tant qu'enseignante, je veux créer mon compte immédiatement sans validation manuelle, afin de tester l'outil sans délai.</t>
  </si>
  <si>
    <t xml:space="preserve">G: visiteur sur /signup-enseignant W: soumet email établissement + mdp T: compte enseignant créé immédiatement, aucune validation manuelle requise</t>
  </si>
  <si>
    <t xml:space="preserve">Corrige le moment de décrochage n°1 identifié sur le customer journey de Mme Lefèvre (étape 2).</t>
  </si>
  <si>
    <t xml:space="preserve">US-27</t>
  </si>
  <si>
    <t xml:space="preserve">En tant qu'enseignante, je veux prévisualiser les questions avant de les publier, afin de vérifier leur pertinence.</t>
  </si>
  <si>
    <t xml:space="preserve">[1 critère type : écran de preview des 10 QCM avant le bouton 'Publier']</t>
  </si>
  <si>
    <t xml:space="preserve">US-28</t>
  </si>
  <si>
    <t xml:space="preserve">En tant que directeur, je veux télécharger une fiche RGPD pré-rédigée, afin de la transmettre vite à mon DPO.</t>
  </si>
  <si>
    <t xml:space="preserve">[1 critère type : bouton de téléchargement d'un PDF de 2 pages, contenu validé juridiquement]</t>
  </si>
  <si>
    <t xml:space="preserve">Surtout un travail de contenu/juridique, peu de code.</t>
  </si>
  <si>
    <t xml:space="preserve">US-29</t>
  </si>
  <si>
    <t xml:space="preserve">En tant que DPO, je veux une check-list RGPD pré-validée juridiquement, afin de valider les CGV rapidement.</t>
  </si>
  <si>
    <t xml:space="preserve">[1 critère type : check-list interactive de 10 points, exportable en PDF]</t>
  </si>
  <si>
    <t xml:space="preserve">En tant que directeur, je veux un kit de déploiement accessible depuis l'app, afin de garantir une adoption réussie.</t>
  </si>
  <si>
    <t xml:space="preserve">[1 critère type : page ressources avec guides PDF + vidéos d'onboarding par rôle]</t>
  </si>
  <si>
    <t xml:space="preserve">US-31</t>
  </si>
  <si>
    <t xml:space="preserve">En tant que directeur, je veux comparer mon adoption à la moyenne anonymisée d'autres écoles, afin de justifier le renouvellement.</t>
  </si>
  <si>
    <t xml:space="preserve">Nécessite une base installée multi-établissements pour être pertinent. Reporté.</t>
  </si>
  <si>
    <t xml:space="preserve">13 SP = seuil de redécoupage. Dépend en plus d'un volume de clients qu'on n'a pas encore : à reporter en Release 3+, pas à découper maintenant.</t>
  </si>
  <si>
    <t xml:space="preserve">34 stories · 25 SP verrouillés en R1 (MVP) · 5 SP obligatoires J3-bis (US-12, hors budget R2) · 14 SP retenus en R2 candidate (US-22, US-23, US-26, US-T1) · reste en Plus tard / Hors scope</t>
  </si>
  <si>
    <t xml:space="preserve">DEFINITION OF READY &amp; DEFINITION OF DONE</t>
  </si>
  <si>
    <t xml:space="preserve">Critères partagés par toute l'équipe, à respecter pour chaque story</t>
  </si>
  <si>
    <t xml:space="preserve">🟢 DEFINITION OF READY (DoR), avant Sprint Planning</t>
  </si>
  <si>
    <t xml:space="preserve">Une story est READY (tirable en sprint) si TOUS ces critères sont cochés :</t>
  </si>
  <si>
    <t xml:space="preserve">✔ User story rédigée au format INVEST (En tant que ... je veux ... afin de ...)</t>
  </si>
  <si>
    <t xml:space="preserve">✔ Persona identifié (Étudiant·e / Enseignant·e / Établissement)</t>
  </si>
  <si>
    <t xml:space="preserve">✔ Priorité MoSCoW assignée et justifiée (Must / Should / Could / Won't)</t>
  </si>
  <si>
    <t xml:space="preserve">✔ Critères d'acceptation explicites et testables (format Given/When/Then de préférence)</t>
  </si>
  <si>
    <t xml:space="preserve">✔ Story estimée par l'équipe en story points (Planning Poker recommandé)</t>
  </si>
  <si>
    <t xml:space="preserve">✔ Dépendances avec d'autres stories identifiées (et non-bloquantes au moment du sprint)</t>
  </si>
  <si>
    <t xml:space="preserve">✔ Pas de question ouverte côté Product Owner (clarté du besoin)</t>
  </si>
  <si>
    <t xml:space="preserve">✔ Maquettes / wireframes disponibles si la story comporte une interface (Figma, Excalidraw)</t>
  </si>
  <si>
    <t xml:space="preserve">🟢 DEFINITION OF DONE (DoD), pour clôturer une story</t>
  </si>
  <si>
    <t xml:space="preserve">Une story est DONE (validée Sprint Review) si TOUS ces critères sont cochés :</t>
  </si>
  <si>
    <t xml:space="preserve">✔ Tous les critères d'acceptation de la story sont satisfaits (vérifiables en démo)</t>
  </si>
  <si>
    <t xml:space="preserve">✔ Code reviewé par au moins 1 autre membre de l'équipe (Pull Request approuvée)</t>
  </si>
  <si>
    <t xml:space="preserve">✔ Tests pertinents ajoutés (pytest pour backend, vitest pour frontend, minimum unitaires)</t>
  </si>
  <si>
    <t xml:space="preserve">✔ Lint et tests verts en CI (pipeline GitHub Actions au vert)</t>
  </si>
  <si>
    <t xml:space="preserve">✔ Documentation à jour (README, docstrings, /docs/ si concept nouveau)</t>
  </si>
  <si>
    <t xml:space="preserve">✔ Pas de TODO/FIXME laissé sans ticket de suivi (créer une issue si nécessaire)</t>
  </si>
  <si>
    <t xml:space="preserve">✔ Story démontrée et acceptée par le PO en Sprint Review</t>
  </si>
  <si>
    <t xml:space="preserve">✔ Code mergé sur la branche principale + tag Git si fin de release</t>
  </si>
  <si>
    <t xml:space="preserve">✔ Pas de régression introduite (suite de tests intégrale au vert)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</si>
  <si>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</si>
  <si>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</si>
  <si>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</si>
  <si>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</si>
  <si>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</si>
  <si>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20 user stories pré-remplies (6 MUST + 6 SHOULD + 5 COULD + 3 WON'T)</t>
  </si>
  <si>
    <t xml:space="preserve">✔ Oui   ☐ Partiel   ☐ Non</t>
  </si>
  <si>
    <t xml:space="preserve">23 stories (6 MUST + 9 SHOULD avec US-T1/T2/T3 + 5 COULD + 3 WON'T)</t>
  </si>
  <si>
    <t xml:space="preserve">Toutes les stories sont au format INVEST (En tant que ... je veux ... afin de ...)</t>
  </si>
  <si>
    <t xml:space="preserve">Toutes au format INVEST : "En tant que X, je veux Y, afin de Z"</t>
  </si>
  <si>
    <t xml:space="preserve">Chaque story a une priorité MoSCoW assignée et un persona ciblé</t>
  </si>
  <si>
    <t xml:space="preserve">Persona Étudiant·e / Enseignant·e (US-T1/T2/T3) / Établissement explicites</t>
  </si>
  <si>
    <t xml:space="preserve">Les 6 MUST correspondent exactement aux 6 features F1-F6 imposées</t>
  </si>
  <si>
    <t xml:space="preserve">US-01→F1, US-02→F2, US-03→F3, US-04→F4, US-05→F5, US-06→F6 (aligné PVB §4.2)</t>
  </si>
  <si>
    <t xml:space="preserve">Les 6 MUST ont des critères d'acceptation Given/When/Then complets</t>
  </si>
  <si>
    <t xml:space="preserve">Critères G/W/T complets sur les 6 MUST + 3 US-T enseignant</t>
  </si>
  <si>
    <t xml:space="preserve">Chaque story est rattachée à une Epic (EP-01 à EP-06)</t>
  </si>
  <si>
    <t xml:space="preserve">EP-01 Identification / EP-02 Contenu / EP-03 Gen / EP-04 Quiz / EP-05 Suivi / EP-06 RGPD</t>
  </si>
  <si>
    <t xml:space="preserve">Les story points sont estimés (au moins indicatifs)</t>
  </si>
  <si>
    <t xml:space="preserve">SP estimés au Planning Poker, scope total 150 SP (cf TOTAL ligne)</t>
  </si>
  <si>
    <t xml:space="preserve">La DoR et la DoD sont rédigées et partagées par l'équipe</t>
  </si>
  <si>
    <t xml:space="preserve">DoR (8) et DoD (9) cochées par l'équipe sur l'onglet DoR &amp; DoD</t>
  </si>
  <si>
    <t xml:space="preserve">Le Product Backlog a été ordonné par valeur business + dépendances</t>
  </si>
  <si>
    <t xml:space="preserve">Backlog ordonné MUST → SHOULD R1+ → SHOULD R2 → COULD → WON'T par valeur métier</t>
  </si>
  <si>
    <t xml:space="preserve">Toutes les stories ont été passées au crible INVEST en équipe</t>
  </si>
  <si>
    <t xml:space="preserve">Passe INVEST par les 7 membres (29/06 19h00) ; validation finale Phase 3 J1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</si>
</sst>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u val="single"/>
      <sz val="11"/>
      <color rgb="FF0000FF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b val="true"/>
      <sz val="10"/>
      <color rgb="FF1E1B4B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sz val="9"/>
      <color rgb="FF1E1B4B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b val="true"/>
      <u val="single"/>
      <sz val="11"/>
      <color rgb="FF0000FF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0"/>
      <color rgb="FFB45309"/>
      <name val="Calibri"/>
      <family val="0"/>
      <charset val="1"/>
    </font>
    <font>
      <sz val="10"/>
      <color rgb="FF16A34A"/>
      <name val="Calibri"/>
      <family val="0"/>
      <charset val="1"/>
    </font>
    <font>
      <sz val="10"/>
      <color rgb="FF64748B"/>
      <name val="Calibri"/>
      <family val="0"/>
      <charset val="1"/>
    </font>
    <font>
      <b val="true"/>
      <sz val="14"/>
      <color rgb="FF16A34A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2E8F0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64748B"/>
      <rgbColor rgb="FF94A3B8"/>
      <rgbColor rgb="FF003366"/>
      <rgbColor rgb="FF16A34A"/>
      <rgbColor rgb="FF003300"/>
      <rgbColor rgb="FF333300"/>
      <rgbColor rgb="FFB45309"/>
      <rgbColor rgb="FF993366"/>
      <rgbColor rgb="FF47556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  <col collapsed="false" customWidth="true" hidden="false" outlineLevel="0" max="6" min="3" style="0" width="8.71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.75" hidden="false" customHeight="true" outlineLevel="0" collapsed="false">
      <c r="B21" s="7" t="s">
        <v>6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6" min="4" style="0" width="8.71"/>
  </cols>
  <sheetData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s">
        <v>10</v>
      </c>
    </row>
    <row r="6" customFormat="false" ht="21.75" hidden="false" customHeight="true" outlineLevel="0" collapsed="false">
      <c r="B6" s="10" t="s">
        <v>11</v>
      </c>
      <c r="C6" s="11" t="s">
        <v>12</v>
      </c>
    </row>
    <row r="7" customFormat="false" ht="21.75" hidden="false" customHeight="true" outlineLevel="0" collapsed="false">
      <c r="B7" s="10" t="s">
        <v>13</v>
      </c>
      <c r="C7" s="11" t="s">
        <v>14</v>
      </c>
    </row>
    <row r="8" customFormat="false" ht="21.75" hidden="false" customHeight="true" outlineLevel="0" collapsed="false">
      <c r="B8" s="10" t="s">
        <v>15</v>
      </c>
      <c r="C8" s="11" t="s">
        <v>16</v>
      </c>
    </row>
    <row r="9" customFormat="false" ht="21.75" hidden="false" customHeight="true" outlineLevel="0" collapsed="false">
      <c r="B9" s="10" t="s">
        <v>17</v>
      </c>
      <c r="C9" s="11" t="s">
        <v>18</v>
      </c>
    </row>
    <row r="10" customFormat="false" ht="21.75" hidden="false" customHeight="true" outlineLevel="0" collapsed="false">
      <c r="B10" s="10" t="s">
        <v>19</v>
      </c>
      <c r="C10" s="11" t="s">
        <v>20</v>
      </c>
    </row>
    <row r="12" customFormat="false" ht="15" hidden="false" customHeight="false" outlineLevel="0" collapsed="false">
      <c r="B12" s="12" t="s">
        <v>21</v>
      </c>
    </row>
    <row r="13" customFormat="false" ht="15" hidden="false" customHeight="false" outlineLevel="0" collapsed="false">
      <c r="B13" s="7" t="s">
        <v>22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.71"/>
  </cols>
  <sheetData>
    <row r="1" customFormat="false" ht="22.05" hidden="false" customHeight="false" outlineLevel="0" collapsed="false">
      <c r="A1" s="13" t="s">
        <v>23</v>
      </c>
    </row>
    <row r="2" customFormat="false" ht="15" hidden="false" customHeight="false" outlineLevel="0" collapsed="false">
      <c r="A2" s="9" t="s">
        <v>24</v>
      </c>
    </row>
    <row r="4" customFormat="false" ht="15" hidden="false" customHeight="false" outlineLevel="0" collapsed="false">
      <c r="A4" s="3" t="s">
        <v>25</v>
      </c>
      <c r="B4" s="9" t="s">
        <v>26</v>
      </c>
    </row>
    <row r="6" customFormat="false" ht="28.35" hidden="false" customHeight="false" outlineLevel="0" collapsed="false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</row>
    <row r="7" customFormat="false" ht="30" hidden="false" customHeight="true" outlineLevel="0" collapsed="false">
      <c r="A7" s="15" t="s">
        <v>32</v>
      </c>
      <c r="B7" s="16" t="s">
        <v>33</v>
      </c>
      <c r="C7" s="16" t="s">
        <v>34</v>
      </c>
      <c r="D7" s="16" t="s">
        <v>35</v>
      </c>
      <c r="E7" s="16" t="n">
        <v>28</v>
      </c>
    </row>
    <row r="8" customFormat="false" ht="30" hidden="false" customHeight="true" outlineLevel="0" collapsed="false">
      <c r="A8" s="15" t="s">
        <v>36</v>
      </c>
      <c r="B8" s="16" t="s">
        <v>37</v>
      </c>
      <c r="C8" s="16" t="s">
        <v>38</v>
      </c>
      <c r="D8" s="16" t="s">
        <v>39</v>
      </c>
      <c r="E8" s="16" t="n">
        <v>18</v>
      </c>
    </row>
    <row r="9" customFormat="false" ht="30" hidden="false" customHeight="true" outlineLevel="0" collapsed="false">
      <c r="A9" s="15" t="s">
        <v>40</v>
      </c>
      <c r="B9" s="16" t="s">
        <v>41</v>
      </c>
      <c r="C9" s="16" t="s">
        <v>42</v>
      </c>
      <c r="D9" s="16" t="s">
        <v>43</v>
      </c>
      <c r="E9" s="16" t="n">
        <v>47</v>
      </c>
    </row>
    <row r="10" customFormat="false" ht="30" hidden="false" customHeight="true" outlineLevel="0" collapsed="false">
      <c r="A10" s="15" t="s">
        <v>44</v>
      </c>
      <c r="B10" s="16" t="s">
        <v>45</v>
      </c>
      <c r="C10" s="16" t="s">
        <v>46</v>
      </c>
      <c r="D10" s="16" t="s">
        <v>47</v>
      </c>
      <c r="E10" s="16" t="n">
        <v>22</v>
      </c>
    </row>
    <row r="11" customFormat="false" ht="30" hidden="false" customHeight="true" outlineLevel="0" collapsed="false">
      <c r="A11" s="15" t="s">
        <v>48</v>
      </c>
      <c r="B11" s="16" t="s">
        <v>49</v>
      </c>
      <c r="C11" s="16" t="s">
        <v>50</v>
      </c>
      <c r="D11" s="16" t="s">
        <v>51</v>
      </c>
      <c r="E11" s="16" t="n">
        <v>29</v>
      </c>
    </row>
    <row r="12" customFormat="false" ht="30" hidden="false" customHeight="true" outlineLevel="0" collapsed="false">
      <c r="A12" s="15" t="s">
        <v>52</v>
      </c>
      <c r="B12" s="16" t="s">
        <v>53</v>
      </c>
      <c r="C12" s="16" t="s">
        <v>54</v>
      </c>
      <c r="D12" s="16" t="s">
        <v>55</v>
      </c>
      <c r="E12" s="16" t="n">
        <v>26</v>
      </c>
    </row>
    <row r="13" customFormat="false" ht="15" hidden="false" customHeight="false" outlineLevel="0" collapsed="false">
      <c r="A13" s="17" t="s">
        <v>56</v>
      </c>
      <c r="B13" s="18" t="s">
        <v>57</v>
      </c>
      <c r="C13" s="18" t="s">
        <v>58</v>
      </c>
      <c r="D13" s="18" t="s">
        <v>59</v>
      </c>
      <c r="E13" s="18" t="n">
        <v>2</v>
      </c>
    </row>
    <row r="14" customFormat="false" ht="15" hidden="false" customHeight="false" outlineLevel="0" collapsed="false">
      <c r="A14" s="17" t="s">
        <v>60</v>
      </c>
      <c r="B14" s="18" t="s">
        <v>61</v>
      </c>
      <c r="C14" s="18" t="s">
        <v>42</v>
      </c>
      <c r="D14" s="18" t="s">
        <v>62</v>
      </c>
      <c r="E14" s="18" t="n">
        <v>8</v>
      </c>
    </row>
    <row r="15" customFormat="false" ht="15" hidden="false" customHeight="false" outlineLevel="0" collapsed="false">
      <c r="A15" s="17" t="s">
        <v>63</v>
      </c>
      <c r="B15" s="18" t="s">
        <v>64</v>
      </c>
      <c r="C15" s="18" t="s">
        <v>50</v>
      </c>
      <c r="D15" s="18" t="s">
        <v>65</v>
      </c>
      <c r="E15" s="18" t="n">
        <v>8</v>
      </c>
    </row>
    <row r="16" customFormat="false" ht="15" hidden="false" customHeight="false" outlineLevel="0" collapsed="false">
      <c r="A16" s="17" t="s">
        <v>66</v>
      </c>
      <c r="B16" s="18" t="s">
        <v>67</v>
      </c>
      <c r="C16" s="18" t="s">
        <v>68</v>
      </c>
      <c r="D16" s="18" t="s">
        <v>69</v>
      </c>
      <c r="E16" s="18" t="n">
        <v>5</v>
      </c>
    </row>
    <row r="17" customFormat="false" ht="15" hidden="false" customHeight="false" outlineLevel="0" collapsed="false">
      <c r="A17" s="17" t="s">
        <v>70</v>
      </c>
      <c r="B17" s="18" t="s">
        <v>71</v>
      </c>
      <c r="C17" s="18" t="s">
        <v>72</v>
      </c>
      <c r="D17" s="18" t="s">
        <v>73</v>
      </c>
      <c r="E17" s="18" t="n">
        <v>3</v>
      </c>
    </row>
    <row r="19" customFormat="false" ht="15" hidden="false" customHeight="false" outlineLevel="0" collapsed="false">
      <c r="A19" s="19" t="s">
        <v>74</v>
      </c>
      <c r="B19" s="19"/>
      <c r="C19" s="19"/>
      <c r="D19" s="19"/>
      <c r="E19" s="19" t="n">
        <f aca="false">SUM(E7:E17)</f>
        <v>196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35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7"/>
    <col collapsed="false" customWidth="true" hidden="false" outlineLevel="0" max="14" min="14" style="0" width="34"/>
  </cols>
  <sheetData>
    <row r="1" customFormat="false" ht="22.05" hidden="false" customHeight="false" outlineLevel="0" collapsed="false">
      <c r="A1" s="13" t="s">
        <v>75</v>
      </c>
    </row>
    <row r="2" customFormat="false" ht="15" hidden="false" customHeight="false" outlineLevel="0" collapsed="false">
      <c r="A2" s="9" t="s">
        <v>76</v>
      </c>
    </row>
    <row r="4" customFormat="false" ht="15" hidden="false" customHeight="false" outlineLevel="0" collapsed="false">
      <c r="A4" s="3" t="s">
        <v>25</v>
      </c>
      <c r="B4" s="9" t="s">
        <v>77</v>
      </c>
    </row>
    <row r="5" customFormat="false" ht="15" hidden="false" customHeight="false" outlineLevel="0" collapsed="false">
      <c r="A5" s="3" t="s">
        <v>78</v>
      </c>
      <c r="B5" s="9" t="s">
        <v>79</v>
      </c>
    </row>
    <row r="6" customFormat="false" ht="15" hidden="false" customHeight="false" outlineLevel="0" collapsed="false">
      <c r="A6" s="20" t="s">
        <v>80</v>
      </c>
      <c r="B6" s="9" t="s">
        <v>81</v>
      </c>
    </row>
    <row r="7" customFormat="false" ht="15" hidden="false" customHeight="false" outlineLevel="0" collapsed="false">
      <c r="A7" s="21" t="s">
        <v>82</v>
      </c>
      <c r="B7" s="9" t="s">
        <v>83</v>
      </c>
    </row>
    <row r="9" customFormat="false" ht="28.35" hidden="false" customHeight="false" outlineLevel="0" collapsed="false">
      <c r="A9" s="14" t="s">
        <v>27</v>
      </c>
      <c r="B9" s="14" t="s">
        <v>28</v>
      </c>
      <c r="C9" s="14" t="s">
        <v>84</v>
      </c>
      <c r="D9" s="14" t="s">
        <v>85</v>
      </c>
      <c r="E9" s="14" t="s">
        <v>86</v>
      </c>
      <c r="F9" s="14" t="s">
        <v>87</v>
      </c>
      <c r="G9" s="14" t="s">
        <v>88</v>
      </c>
      <c r="H9" s="14" t="s">
        <v>89</v>
      </c>
      <c r="I9" s="14" t="s">
        <v>90</v>
      </c>
      <c r="J9" s="14" t="s">
        <v>91</v>
      </c>
      <c r="K9" s="14" t="s">
        <v>19</v>
      </c>
      <c r="L9" s="22" t="s">
        <v>92</v>
      </c>
      <c r="M9" s="22" t="s">
        <v>93</v>
      </c>
      <c r="N9" s="22" t="s">
        <v>94</v>
      </c>
    </row>
    <row r="10" customFormat="false" ht="69.75" hidden="false" customHeight="true" outlineLevel="0" collapsed="false">
      <c r="A10" s="17" t="s">
        <v>95</v>
      </c>
      <c r="B10" s="23" t="s">
        <v>32</v>
      </c>
      <c r="C10" s="23" t="s">
        <v>96</v>
      </c>
      <c r="D10" s="23" t="s">
        <v>97</v>
      </c>
      <c r="E10" s="24" t="s">
        <v>98</v>
      </c>
      <c r="F10" s="23" t="n">
        <v>3</v>
      </c>
      <c r="G10" s="23" t="s">
        <v>99</v>
      </c>
      <c r="H10" s="23" t="s">
        <v>100</v>
      </c>
      <c r="I10" s="23" t="s">
        <v>100</v>
      </c>
      <c r="J10" s="23" t="s">
        <v>101</v>
      </c>
      <c r="K10" s="23" t="s">
        <v>102</v>
      </c>
      <c r="L10" s="18" t="s">
        <v>103</v>
      </c>
      <c r="M10" s="18" t="s">
        <v>104</v>
      </c>
      <c r="N10" s="18"/>
    </row>
    <row r="11" customFormat="false" ht="69.75" hidden="false" customHeight="true" outlineLevel="0" collapsed="false">
      <c r="A11" s="17" t="s">
        <v>105</v>
      </c>
      <c r="B11" s="23" t="s">
        <v>36</v>
      </c>
      <c r="C11" s="23" t="s">
        <v>106</v>
      </c>
      <c r="D11" s="23" t="s">
        <v>97</v>
      </c>
      <c r="E11" s="24" t="s">
        <v>98</v>
      </c>
      <c r="F11" s="23" t="n">
        <v>5</v>
      </c>
      <c r="G11" s="23" t="s">
        <v>107</v>
      </c>
      <c r="H11" s="23" t="s">
        <v>100</v>
      </c>
      <c r="I11" s="23" t="s">
        <v>100</v>
      </c>
      <c r="J11" s="23" t="s">
        <v>101</v>
      </c>
      <c r="K11" s="23" t="s">
        <v>102</v>
      </c>
      <c r="L11" s="18" t="s">
        <v>103</v>
      </c>
      <c r="M11" s="18" t="s">
        <v>104</v>
      </c>
      <c r="N11" s="18"/>
    </row>
    <row r="12" customFormat="false" ht="69.75" hidden="false" customHeight="true" outlineLevel="0" collapsed="false">
      <c r="A12" s="17" t="s">
        <v>108</v>
      </c>
      <c r="B12" s="23" t="s">
        <v>40</v>
      </c>
      <c r="C12" s="23" t="s">
        <v>109</v>
      </c>
      <c r="D12" s="23" t="s">
        <v>97</v>
      </c>
      <c r="E12" s="24" t="s">
        <v>98</v>
      </c>
      <c r="F12" s="23" t="n">
        <v>8</v>
      </c>
      <c r="G12" s="23" t="s">
        <v>110</v>
      </c>
      <c r="H12" s="23" t="s">
        <v>100</v>
      </c>
      <c r="I12" s="23" t="s">
        <v>100</v>
      </c>
      <c r="J12" s="23" t="s">
        <v>111</v>
      </c>
      <c r="K12" s="23" t="s">
        <v>102</v>
      </c>
      <c r="L12" s="18" t="s">
        <v>103</v>
      </c>
      <c r="M12" s="18" t="s">
        <v>104</v>
      </c>
      <c r="N12" s="18"/>
    </row>
    <row r="13" customFormat="false" ht="69.75" hidden="false" customHeight="true" outlineLevel="0" collapsed="false">
      <c r="A13" s="17" t="s">
        <v>112</v>
      </c>
      <c r="B13" s="23" t="s">
        <v>44</v>
      </c>
      <c r="C13" s="23" t="s">
        <v>113</v>
      </c>
      <c r="D13" s="23" t="s">
        <v>97</v>
      </c>
      <c r="E13" s="24" t="s">
        <v>98</v>
      </c>
      <c r="F13" s="23" t="n">
        <v>3</v>
      </c>
      <c r="G13" s="23" t="s">
        <v>114</v>
      </c>
      <c r="H13" s="23" t="s">
        <v>100</v>
      </c>
      <c r="I13" s="23" t="s">
        <v>100</v>
      </c>
      <c r="J13" s="23" t="s">
        <v>115</v>
      </c>
      <c r="K13" s="23" t="s">
        <v>102</v>
      </c>
      <c r="L13" s="18" t="s">
        <v>103</v>
      </c>
      <c r="M13" s="18" t="s">
        <v>104</v>
      </c>
      <c r="N13" s="18"/>
    </row>
    <row r="14" customFormat="false" ht="69.75" hidden="false" customHeight="true" outlineLevel="0" collapsed="false">
      <c r="A14" s="17" t="s">
        <v>116</v>
      </c>
      <c r="B14" s="23" t="s">
        <v>44</v>
      </c>
      <c r="C14" s="23" t="s">
        <v>117</v>
      </c>
      <c r="D14" s="23" t="s">
        <v>97</v>
      </c>
      <c r="E14" s="24" t="s">
        <v>98</v>
      </c>
      <c r="F14" s="23" t="n">
        <v>3</v>
      </c>
      <c r="G14" s="23" t="s">
        <v>118</v>
      </c>
      <c r="H14" s="23" t="s">
        <v>100</v>
      </c>
      <c r="I14" s="23" t="s">
        <v>100</v>
      </c>
      <c r="J14" s="23" t="s">
        <v>115</v>
      </c>
      <c r="K14" s="23" t="s">
        <v>102</v>
      </c>
      <c r="L14" s="18" t="s">
        <v>103</v>
      </c>
      <c r="M14" s="18" t="s">
        <v>104</v>
      </c>
      <c r="N14" s="18"/>
    </row>
    <row r="15" customFormat="false" ht="69.75" hidden="false" customHeight="true" outlineLevel="0" collapsed="false">
      <c r="A15" s="17" t="s">
        <v>119</v>
      </c>
      <c r="B15" s="23" t="s">
        <v>48</v>
      </c>
      <c r="C15" s="23" t="s">
        <v>120</v>
      </c>
      <c r="D15" s="23" t="s">
        <v>97</v>
      </c>
      <c r="E15" s="24" t="s">
        <v>98</v>
      </c>
      <c r="F15" s="23" t="n">
        <v>3</v>
      </c>
      <c r="G15" s="23" t="s">
        <v>121</v>
      </c>
      <c r="H15" s="23" t="s">
        <v>100</v>
      </c>
      <c r="I15" s="23" t="s">
        <v>100</v>
      </c>
      <c r="J15" s="23" t="s">
        <v>122</v>
      </c>
      <c r="K15" s="23" t="s">
        <v>102</v>
      </c>
      <c r="L15" s="18" t="s">
        <v>103</v>
      </c>
      <c r="M15" s="18" t="s">
        <v>104</v>
      </c>
      <c r="N15" s="18"/>
    </row>
    <row r="16" customFormat="false" ht="69.75" hidden="false" customHeight="true" outlineLevel="0" collapsed="false">
      <c r="A16" s="17" t="s">
        <v>123</v>
      </c>
      <c r="B16" s="23" t="s">
        <v>32</v>
      </c>
      <c r="C16" s="23" t="s">
        <v>124</v>
      </c>
      <c r="D16" s="23" t="s">
        <v>97</v>
      </c>
      <c r="E16" s="25" t="s">
        <v>125</v>
      </c>
      <c r="F16" s="23" t="n">
        <v>3</v>
      </c>
      <c r="G16" s="23" t="s">
        <v>126</v>
      </c>
      <c r="H16" s="23" t="s">
        <v>100</v>
      </c>
      <c r="I16" s="23" t="s">
        <v>100</v>
      </c>
      <c r="J16" s="23" t="s">
        <v>127</v>
      </c>
      <c r="K16" s="23" t="s">
        <v>128</v>
      </c>
      <c r="L16" s="18" t="s">
        <v>129</v>
      </c>
      <c r="M16" s="18" t="s">
        <v>130</v>
      </c>
      <c r="N16" s="18"/>
    </row>
    <row r="17" customFormat="false" ht="69.75" hidden="false" customHeight="true" outlineLevel="0" collapsed="false">
      <c r="A17" s="17" t="s">
        <v>131</v>
      </c>
      <c r="B17" s="23" t="s">
        <v>36</v>
      </c>
      <c r="C17" s="23" t="s">
        <v>132</v>
      </c>
      <c r="D17" s="23" t="s">
        <v>97</v>
      </c>
      <c r="E17" s="25" t="s">
        <v>125</v>
      </c>
      <c r="F17" s="23" t="n">
        <v>5</v>
      </c>
      <c r="G17" s="23" t="s">
        <v>133</v>
      </c>
      <c r="H17" s="23" t="s">
        <v>100</v>
      </c>
      <c r="I17" s="23" t="s">
        <v>100</v>
      </c>
      <c r="J17" s="23" t="s">
        <v>127</v>
      </c>
      <c r="K17" s="23" t="s">
        <v>128</v>
      </c>
      <c r="L17" s="18" t="s">
        <v>129</v>
      </c>
      <c r="M17" s="18" t="s">
        <v>130</v>
      </c>
      <c r="N17" s="18"/>
    </row>
    <row r="18" customFormat="false" ht="69.75" hidden="false" customHeight="true" outlineLevel="0" collapsed="false">
      <c r="A18" s="17" t="s">
        <v>134</v>
      </c>
      <c r="B18" s="23" t="s">
        <v>40</v>
      </c>
      <c r="C18" s="23" t="s">
        <v>135</v>
      </c>
      <c r="D18" s="23" t="s">
        <v>97</v>
      </c>
      <c r="E18" s="25" t="s">
        <v>125</v>
      </c>
      <c r="F18" s="23" t="n">
        <v>5</v>
      </c>
      <c r="G18" s="23" t="s">
        <v>136</v>
      </c>
      <c r="H18" s="23" t="s">
        <v>100</v>
      </c>
      <c r="I18" s="23" t="s">
        <v>100</v>
      </c>
      <c r="J18" s="23" t="s">
        <v>127</v>
      </c>
      <c r="K18" s="23" t="s">
        <v>128</v>
      </c>
      <c r="L18" s="18" t="s">
        <v>129</v>
      </c>
      <c r="M18" s="18" t="s">
        <v>130</v>
      </c>
      <c r="N18" s="18"/>
    </row>
    <row r="19" customFormat="false" ht="69.75" hidden="false" customHeight="true" outlineLevel="0" collapsed="false">
      <c r="A19" s="17" t="s">
        <v>137</v>
      </c>
      <c r="B19" s="23" t="s">
        <v>44</v>
      </c>
      <c r="C19" s="23" t="s">
        <v>138</v>
      </c>
      <c r="D19" s="23" t="s">
        <v>97</v>
      </c>
      <c r="E19" s="25" t="s">
        <v>125</v>
      </c>
      <c r="F19" s="23" t="n">
        <v>3</v>
      </c>
      <c r="G19" s="23" t="s">
        <v>139</v>
      </c>
      <c r="H19" s="23" t="s">
        <v>100</v>
      </c>
      <c r="I19" s="23" t="s">
        <v>100</v>
      </c>
      <c r="J19" s="23" t="s">
        <v>140</v>
      </c>
      <c r="K19" s="23" t="s">
        <v>128</v>
      </c>
      <c r="L19" s="18" t="s">
        <v>141</v>
      </c>
      <c r="M19" s="18" t="s">
        <v>130</v>
      </c>
      <c r="N19" s="18"/>
    </row>
    <row r="20" customFormat="false" ht="69.75" hidden="false" customHeight="true" outlineLevel="0" collapsed="false">
      <c r="A20" s="17" t="s">
        <v>142</v>
      </c>
      <c r="B20" s="23" t="s">
        <v>48</v>
      </c>
      <c r="C20" s="23" t="s">
        <v>143</v>
      </c>
      <c r="D20" s="23" t="s">
        <v>97</v>
      </c>
      <c r="E20" s="25" t="s">
        <v>125</v>
      </c>
      <c r="F20" s="23" t="n">
        <v>5</v>
      </c>
      <c r="G20" s="23" t="s">
        <v>144</v>
      </c>
      <c r="H20" s="23" t="s">
        <v>100</v>
      </c>
      <c r="I20" s="23" t="s">
        <v>100</v>
      </c>
      <c r="J20" s="23" t="s">
        <v>140</v>
      </c>
      <c r="K20" s="23" t="s">
        <v>128</v>
      </c>
      <c r="L20" s="18" t="s">
        <v>145</v>
      </c>
      <c r="M20" s="18" t="s">
        <v>130</v>
      </c>
      <c r="N20" s="18"/>
    </row>
    <row r="21" customFormat="false" ht="69.75" hidden="false" customHeight="true" outlineLevel="0" collapsed="false">
      <c r="A21" s="17" t="s">
        <v>146</v>
      </c>
      <c r="B21" s="23" t="s">
        <v>52</v>
      </c>
      <c r="C21" s="23" t="s">
        <v>147</v>
      </c>
      <c r="D21" s="23" t="s">
        <v>148</v>
      </c>
      <c r="E21" s="25" t="s">
        <v>125</v>
      </c>
      <c r="F21" s="23" t="n">
        <v>5</v>
      </c>
      <c r="G21" s="23" t="s">
        <v>149</v>
      </c>
      <c r="H21" s="23" t="s">
        <v>100</v>
      </c>
      <c r="I21" s="23" t="s">
        <v>100</v>
      </c>
      <c r="J21" s="23" t="s">
        <v>150</v>
      </c>
      <c r="K21" s="23" t="s">
        <v>128</v>
      </c>
      <c r="L21" s="18" t="s">
        <v>103</v>
      </c>
      <c r="M21" s="18" t="s">
        <v>151</v>
      </c>
      <c r="N21" s="18" t="s">
        <v>152</v>
      </c>
    </row>
    <row r="22" customFormat="false" ht="69.75" hidden="false" customHeight="true" outlineLevel="0" collapsed="false">
      <c r="A22" s="17" t="s">
        <v>153</v>
      </c>
      <c r="B22" s="23" t="s">
        <v>32</v>
      </c>
      <c r="C22" s="23" t="s">
        <v>154</v>
      </c>
      <c r="D22" s="23" t="s">
        <v>97</v>
      </c>
      <c r="E22" s="26" t="s">
        <v>155</v>
      </c>
      <c r="F22" s="23" t="n">
        <v>5</v>
      </c>
      <c r="G22" s="23" t="s">
        <v>156</v>
      </c>
      <c r="H22" s="23" t="s">
        <v>100</v>
      </c>
      <c r="I22" s="23" t="s">
        <v>100</v>
      </c>
      <c r="J22" s="23" t="s">
        <v>157</v>
      </c>
      <c r="K22" s="23" t="s">
        <v>128</v>
      </c>
      <c r="L22" s="18" t="s">
        <v>141</v>
      </c>
      <c r="M22" s="18" t="s">
        <v>130</v>
      </c>
      <c r="N22" s="18"/>
    </row>
    <row r="23" customFormat="false" ht="69.75" hidden="false" customHeight="true" outlineLevel="0" collapsed="false">
      <c r="A23" s="17" t="s">
        <v>158</v>
      </c>
      <c r="B23" s="23" t="s">
        <v>36</v>
      </c>
      <c r="C23" s="23" t="s">
        <v>159</v>
      </c>
      <c r="D23" s="23" t="s">
        <v>97</v>
      </c>
      <c r="E23" s="26" t="s">
        <v>155</v>
      </c>
      <c r="F23" s="23" t="n">
        <v>8</v>
      </c>
      <c r="G23" s="23" t="s">
        <v>160</v>
      </c>
      <c r="H23" s="23" t="s">
        <v>100</v>
      </c>
      <c r="I23" s="23" t="s">
        <v>100</v>
      </c>
      <c r="J23" s="23" t="s">
        <v>157</v>
      </c>
      <c r="K23" s="23" t="s">
        <v>128</v>
      </c>
      <c r="L23" s="18" t="s">
        <v>141</v>
      </c>
      <c r="M23" s="18" t="s">
        <v>130</v>
      </c>
      <c r="N23" s="18"/>
    </row>
    <row r="24" customFormat="false" ht="69.75" hidden="false" customHeight="true" outlineLevel="0" collapsed="false">
      <c r="A24" s="17" t="s">
        <v>161</v>
      </c>
      <c r="B24" s="23" t="s">
        <v>40</v>
      </c>
      <c r="C24" s="23" t="s">
        <v>162</v>
      </c>
      <c r="D24" s="23" t="s">
        <v>163</v>
      </c>
      <c r="E24" s="26" t="s">
        <v>155</v>
      </c>
      <c r="F24" s="23" t="n">
        <v>13</v>
      </c>
      <c r="G24" s="23" t="s">
        <v>164</v>
      </c>
      <c r="H24" s="23" t="s">
        <v>100</v>
      </c>
      <c r="I24" s="23" t="s">
        <v>100</v>
      </c>
      <c r="J24" s="23" t="s">
        <v>157</v>
      </c>
      <c r="K24" s="23" t="s">
        <v>128</v>
      </c>
      <c r="L24" s="18" t="s">
        <v>129</v>
      </c>
      <c r="M24" s="18" t="s">
        <v>130</v>
      </c>
      <c r="N24" s="18" t="s">
        <v>165</v>
      </c>
    </row>
    <row r="25" customFormat="false" ht="69.75" hidden="false" customHeight="true" outlineLevel="0" collapsed="false">
      <c r="A25" s="17" t="s">
        <v>166</v>
      </c>
      <c r="B25" s="23" t="s">
        <v>48</v>
      </c>
      <c r="C25" s="23" t="s">
        <v>167</v>
      </c>
      <c r="D25" s="23" t="s">
        <v>97</v>
      </c>
      <c r="E25" s="26" t="s">
        <v>155</v>
      </c>
      <c r="F25" s="23" t="n">
        <v>8</v>
      </c>
      <c r="G25" s="23" t="s">
        <v>168</v>
      </c>
      <c r="H25" s="23" t="s">
        <v>100</v>
      </c>
      <c r="I25" s="23" t="s">
        <v>100</v>
      </c>
      <c r="J25" s="23" t="s">
        <v>157</v>
      </c>
      <c r="K25" s="23" t="s">
        <v>128</v>
      </c>
      <c r="L25" s="18" t="s">
        <v>129</v>
      </c>
      <c r="M25" s="18" t="s">
        <v>130</v>
      </c>
      <c r="N25" s="18"/>
    </row>
    <row r="26" customFormat="false" ht="69.75" hidden="false" customHeight="true" outlineLevel="0" collapsed="false">
      <c r="A26" s="17" t="s">
        <v>169</v>
      </c>
      <c r="B26" s="23" t="s">
        <v>52</v>
      </c>
      <c r="C26" s="23" t="s">
        <v>170</v>
      </c>
      <c r="D26" s="23" t="s">
        <v>148</v>
      </c>
      <c r="E26" s="26" t="s">
        <v>155</v>
      </c>
      <c r="F26" s="23" t="n">
        <v>5</v>
      </c>
      <c r="G26" s="23" t="s">
        <v>171</v>
      </c>
      <c r="H26" s="23" t="s">
        <v>100</v>
      </c>
      <c r="I26" s="23" t="s">
        <v>100</v>
      </c>
      <c r="J26" s="23" t="s">
        <v>157</v>
      </c>
      <c r="K26" s="23" t="s">
        <v>128</v>
      </c>
      <c r="L26" s="18" t="s">
        <v>129</v>
      </c>
      <c r="M26" s="18" t="s">
        <v>130</v>
      </c>
      <c r="N26" s="18"/>
    </row>
    <row r="27" customFormat="false" ht="69.75" hidden="false" customHeight="true" outlineLevel="0" collapsed="false">
      <c r="A27" s="17" t="s">
        <v>172</v>
      </c>
      <c r="B27" s="23" t="s">
        <v>32</v>
      </c>
      <c r="C27" s="23" t="s">
        <v>173</v>
      </c>
      <c r="D27" s="23" t="s">
        <v>174</v>
      </c>
      <c r="E27" s="27" t="s">
        <v>175</v>
      </c>
      <c r="F27" s="23" t="n">
        <v>13</v>
      </c>
      <c r="G27" s="23" t="s">
        <v>176</v>
      </c>
      <c r="H27" s="23" t="s">
        <v>157</v>
      </c>
      <c r="I27" s="23" t="s">
        <v>157</v>
      </c>
      <c r="J27" s="23" t="s">
        <v>157</v>
      </c>
      <c r="K27" s="23" t="s">
        <v>177</v>
      </c>
      <c r="L27" s="18" t="s">
        <v>141</v>
      </c>
      <c r="M27" s="18" t="s">
        <v>178</v>
      </c>
      <c r="N27" s="18" t="s">
        <v>179</v>
      </c>
    </row>
    <row r="28" customFormat="false" ht="69.75" hidden="false" customHeight="true" outlineLevel="0" collapsed="false">
      <c r="A28" s="17" t="s">
        <v>180</v>
      </c>
      <c r="B28" s="23" t="s">
        <v>40</v>
      </c>
      <c r="C28" s="23" t="s">
        <v>181</v>
      </c>
      <c r="D28" s="23" t="s">
        <v>97</v>
      </c>
      <c r="E28" s="27" t="s">
        <v>175</v>
      </c>
      <c r="F28" s="23" t="n">
        <v>21</v>
      </c>
      <c r="G28" s="23" t="s">
        <v>182</v>
      </c>
      <c r="H28" s="23" t="s">
        <v>157</v>
      </c>
      <c r="I28" s="23" t="s">
        <v>157</v>
      </c>
      <c r="J28" s="23" t="s">
        <v>157</v>
      </c>
      <c r="K28" s="23" t="s">
        <v>177</v>
      </c>
      <c r="L28" s="18" t="s">
        <v>183</v>
      </c>
      <c r="M28" s="18" t="s">
        <v>178</v>
      </c>
      <c r="N28" s="18" t="s">
        <v>184</v>
      </c>
    </row>
    <row r="29" customFormat="false" ht="69.75" hidden="false" customHeight="true" outlineLevel="0" collapsed="false">
      <c r="A29" s="17" t="s">
        <v>185</v>
      </c>
      <c r="B29" s="23" t="s">
        <v>44</v>
      </c>
      <c r="C29" s="23" t="s">
        <v>186</v>
      </c>
      <c r="D29" s="23" t="s">
        <v>97</v>
      </c>
      <c r="E29" s="27" t="s">
        <v>175</v>
      </c>
      <c r="F29" s="23" t="n">
        <v>13</v>
      </c>
      <c r="G29" s="23" t="s">
        <v>187</v>
      </c>
      <c r="H29" s="23" t="s">
        <v>157</v>
      </c>
      <c r="I29" s="23" t="s">
        <v>157</v>
      </c>
      <c r="J29" s="23" t="s">
        <v>157</v>
      </c>
      <c r="K29" s="23" t="s">
        <v>177</v>
      </c>
      <c r="L29" s="18" t="s">
        <v>183</v>
      </c>
      <c r="M29" s="18" t="s">
        <v>178</v>
      </c>
      <c r="N29" s="18" t="s">
        <v>188</v>
      </c>
    </row>
    <row r="30" customFormat="false" ht="40.5" hidden="false" customHeight="true" outlineLevel="0" collapsed="false">
      <c r="A30" s="28" t="s">
        <v>189</v>
      </c>
      <c r="B30" s="29" t="s">
        <v>48</v>
      </c>
      <c r="C30" s="29" t="s">
        <v>190</v>
      </c>
      <c r="D30" s="29" t="s">
        <v>163</v>
      </c>
      <c r="E30" s="29" t="s">
        <v>125</v>
      </c>
      <c r="F30" s="29" t="n">
        <v>5</v>
      </c>
      <c r="G30" s="29" t="s">
        <v>191</v>
      </c>
      <c r="H30" s="29" t="s">
        <v>100</v>
      </c>
      <c r="I30" s="29" t="s">
        <v>100</v>
      </c>
      <c r="J30" s="29" t="s">
        <v>127</v>
      </c>
      <c r="K30" s="29" t="s">
        <v>102</v>
      </c>
      <c r="L30" s="18" t="s">
        <v>103</v>
      </c>
      <c r="M30" s="18" t="s">
        <v>192</v>
      </c>
      <c r="N30" s="18" t="s">
        <v>193</v>
      </c>
    </row>
    <row r="31" customFormat="false" ht="38.25" hidden="false" customHeight="true" outlineLevel="0" collapsed="false">
      <c r="A31" s="28" t="s">
        <v>194</v>
      </c>
      <c r="B31" s="29" t="s">
        <v>48</v>
      </c>
      <c r="C31" s="29" t="s">
        <v>195</v>
      </c>
      <c r="D31" s="29" t="s">
        <v>163</v>
      </c>
      <c r="E31" s="29" t="s">
        <v>125</v>
      </c>
      <c r="F31" s="29" t="n">
        <v>3</v>
      </c>
      <c r="G31" s="29" t="s">
        <v>196</v>
      </c>
      <c r="H31" s="29" t="s">
        <v>100</v>
      </c>
      <c r="I31" s="29" t="s">
        <v>100</v>
      </c>
      <c r="J31" s="29" t="s">
        <v>127</v>
      </c>
      <c r="K31" s="29" t="s">
        <v>102</v>
      </c>
      <c r="L31" s="18" t="s">
        <v>145</v>
      </c>
      <c r="M31" s="18" t="s">
        <v>197</v>
      </c>
      <c r="N31" s="18" t="s">
        <v>198</v>
      </c>
    </row>
    <row r="32" customFormat="false" ht="52.5" hidden="false" customHeight="true" outlineLevel="0" collapsed="false">
      <c r="A32" s="28" t="s">
        <v>199</v>
      </c>
      <c r="B32" s="29" t="s">
        <v>48</v>
      </c>
      <c r="C32" s="30" t="s">
        <v>200</v>
      </c>
      <c r="D32" s="29" t="s">
        <v>163</v>
      </c>
      <c r="E32" s="29" t="s">
        <v>125</v>
      </c>
      <c r="F32" s="29" t="n">
        <v>5</v>
      </c>
      <c r="G32" s="29" t="s">
        <v>201</v>
      </c>
      <c r="H32" s="29" t="s">
        <v>100</v>
      </c>
      <c r="I32" s="29" t="s">
        <v>100</v>
      </c>
      <c r="J32" s="29" t="s">
        <v>140</v>
      </c>
      <c r="K32" s="29" t="s">
        <v>102</v>
      </c>
      <c r="L32" s="18" t="s">
        <v>145</v>
      </c>
      <c r="M32" s="18" t="s">
        <v>197</v>
      </c>
      <c r="N32" s="18" t="s">
        <v>198</v>
      </c>
    </row>
    <row r="33" customFormat="false" ht="79.5" hidden="false" customHeight="true" outlineLevel="0" collapsed="false">
      <c r="A33" s="17" t="s">
        <v>59</v>
      </c>
      <c r="B33" s="18" t="s">
        <v>56</v>
      </c>
      <c r="C33" s="18" t="s">
        <v>202</v>
      </c>
      <c r="D33" s="18" t="s">
        <v>97</v>
      </c>
      <c r="E33" s="31" t="s">
        <v>125</v>
      </c>
      <c r="F33" s="18" t="n">
        <v>2</v>
      </c>
      <c r="G33" s="18" t="s">
        <v>203</v>
      </c>
      <c r="H33" s="18" t="s">
        <v>100</v>
      </c>
      <c r="I33" s="18" t="s">
        <v>100</v>
      </c>
      <c r="J33" s="18" t="s">
        <v>204</v>
      </c>
      <c r="K33" s="18" t="s">
        <v>128</v>
      </c>
      <c r="L33" s="18" t="s">
        <v>129</v>
      </c>
      <c r="M33" s="18" t="s">
        <v>130</v>
      </c>
      <c r="N33" s="18"/>
    </row>
    <row r="34" customFormat="false" ht="79.5" hidden="false" customHeight="true" outlineLevel="0" collapsed="false">
      <c r="A34" s="17" t="s">
        <v>205</v>
      </c>
      <c r="B34" s="18" t="s">
        <v>32</v>
      </c>
      <c r="C34" s="18" t="s">
        <v>206</v>
      </c>
      <c r="D34" s="18" t="s">
        <v>97</v>
      </c>
      <c r="E34" s="31" t="s">
        <v>125</v>
      </c>
      <c r="F34" s="18" t="n">
        <v>1</v>
      </c>
      <c r="G34" s="18" t="s">
        <v>207</v>
      </c>
      <c r="H34" s="18" t="s">
        <v>100</v>
      </c>
      <c r="I34" s="18" t="s">
        <v>100</v>
      </c>
      <c r="J34" s="18" t="s">
        <v>127</v>
      </c>
      <c r="K34" s="18" t="s">
        <v>102</v>
      </c>
      <c r="L34" s="18" t="s">
        <v>145</v>
      </c>
      <c r="M34" s="18" t="s">
        <v>192</v>
      </c>
      <c r="N34" s="18" t="s">
        <v>208</v>
      </c>
    </row>
    <row r="35" customFormat="false" ht="79.5" hidden="false" customHeight="true" outlineLevel="0" collapsed="false">
      <c r="A35" s="17" t="s">
        <v>209</v>
      </c>
      <c r="B35" s="18" t="s">
        <v>60</v>
      </c>
      <c r="C35" s="18" t="s">
        <v>210</v>
      </c>
      <c r="D35" s="18" t="s">
        <v>97</v>
      </c>
      <c r="E35" s="31" t="s">
        <v>125</v>
      </c>
      <c r="F35" s="18" t="n">
        <v>5</v>
      </c>
      <c r="G35" s="18" t="s">
        <v>211</v>
      </c>
      <c r="H35" s="18" t="s">
        <v>100</v>
      </c>
      <c r="I35" s="18" t="s">
        <v>100</v>
      </c>
      <c r="J35" s="18" t="s">
        <v>127</v>
      </c>
      <c r="K35" s="18" t="s">
        <v>102</v>
      </c>
      <c r="L35" s="18" t="s">
        <v>103</v>
      </c>
      <c r="M35" s="18" t="s">
        <v>212</v>
      </c>
      <c r="N35" s="18" t="s">
        <v>213</v>
      </c>
    </row>
    <row r="36" customFormat="false" ht="79.5" hidden="false" customHeight="true" outlineLevel="0" collapsed="false">
      <c r="A36" s="17" t="s">
        <v>65</v>
      </c>
      <c r="B36" s="18" t="s">
        <v>63</v>
      </c>
      <c r="C36" s="18" t="s">
        <v>214</v>
      </c>
      <c r="D36" s="18" t="s">
        <v>97</v>
      </c>
      <c r="E36" s="32" t="s">
        <v>155</v>
      </c>
      <c r="F36" s="18" t="n">
        <v>8</v>
      </c>
      <c r="G36" s="18" t="s">
        <v>215</v>
      </c>
      <c r="H36" s="18" t="s">
        <v>100</v>
      </c>
      <c r="I36" s="18" t="s">
        <v>100</v>
      </c>
      <c r="J36" s="18" t="s">
        <v>204</v>
      </c>
      <c r="K36" s="18" t="s">
        <v>128</v>
      </c>
      <c r="L36" s="18" t="s">
        <v>129</v>
      </c>
      <c r="M36" s="18" t="s">
        <v>130</v>
      </c>
      <c r="N36" s="18" t="s">
        <v>216</v>
      </c>
    </row>
    <row r="37" customFormat="false" ht="79.5" hidden="false" customHeight="true" outlineLevel="0" collapsed="false">
      <c r="A37" s="17" t="s">
        <v>69</v>
      </c>
      <c r="B37" s="18" t="s">
        <v>66</v>
      </c>
      <c r="C37" s="18" t="s">
        <v>217</v>
      </c>
      <c r="D37" s="18" t="s">
        <v>97</v>
      </c>
      <c r="E37" s="32" t="s">
        <v>155</v>
      </c>
      <c r="F37" s="18" t="n">
        <v>5</v>
      </c>
      <c r="G37" s="18" t="s">
        <v>218</v>
      </c>
      <c r="H37" s="18" t="s">
        <v>100</v>
      </c>
      <c r="I37" s="18" t="s">
        <v>100</v>
      </c>
      <c r="J37" s="18" t="s">
        <v>204</v>
      </c>
      <c r="K37" s="18" t="s">
        <v>128</v>
      </c>
      <c r="L37" s="18" t="s">
        <v>129</v>
      </c>
      <c r="M37" s="18" t="s">
        <v>130</v>
      </c>
      <c r="N37" s="18"/>
    </row>
    <row r="38" customFormat="false" ht="79.5" hidden="false" customHeight="true" outlineLevel="0" collapsed="false">
      <c r="A38" s="17" t="s">
        <v>219</v>
      </c>
      <c r="B38" s="18" t="s">
        <v>32</v>
      </c>
      <c r="C38" s="18" t="s">
        <v>220</v>
      </c>
      <c r="D38" s="18" t="s">
        <v>163</v>
      </c>
      <c r="E38" s="31" t="s">
        <v>125</v>
      </c>
      <c r="F38" s="18" t="n">
        <v>3</v>
      </c>
      <c r="G38" s="18" t="s">
        <v>221</v>
      </c>
      <c r="H38" s="18" t="s">
        <v>100</v>
      </c>
      <c r="I38" s="18" t="s">
        <v>100</v>
      </c>
      <c r="J38" s="18" t="s">
        <v>127</v>
      </c>
      <c r="K38" s="18" t="s">
        <v>102</v>
      </c>
      <c r="L38" s="18" t="s">
        <v>103</v>
      </c>
      <c r="M38" s="18" t="s">
        <v>212</v>
      </c>
      <c r="N38" s="18" t="s">
        <v>222</v>
      </c>
    </row>
    <row r="39" customFormat="false" ht="79.5" hidden="false" customHeight="true" outlineLevel="0" collapsed="false">
      <c r="A39" s="17" t="s">
        <v>223</v>
      </c>
      <c r="B39" s="18" t="s">
        <v>60</v>
      </c>
      <c r="C39" s="18" t="s">
        <v>224</v>
      </c>
      <c r="D39" s="18" t="s">
        <v>163</v>
      </c>
      <c r="E39" s="31" t="s">
        <v>125</v>
      </c>
      <c r="F39" s="18" t="n">
        <v>3</v>
      </c>
      <c r="G39" s="18" t="s">
        <v>225</v>
      </c>
      <c r="H39" s="18" t="s">
        <v>100</v>
      </c>
      <c r="I39" s="18" t="s">
        <v>100</v>
      </c>
      <c r="J39" s="18" t="s">
        <v>204</v>
      </c>
      <c r="K39" s="18" t="s">
        <v>128</v>
      </c>
      <c r="L39" s="18" t="s">
        <v>145</v>
      </c>
      <c r="M39" s="18" t="s">
        <v>197</v>
      </c>
      <c r="N39" s="18"/>
    </row>
    <row r="40" customFormat="false" ht="79.5" hidden="false" customHeight="true" outlineLevel="0" collapsed="false">
      <c r="A40" s="17" t="s">
        <v>226</v>
      </c>
      <c r="B40" s="18" t="s">
        <v>52</v>
      </c>
      <c r="C40" s="18" t="s">
        <v>227</v>
      </c>
      <c r="D40" s="18" t="s">
        <v>174</v>
      </c>
      <c r="E40" s="31" t="s">
        <v>125</v>
      </c>
      <c r="F40" s="18" t="n">
        <v>1</v>
      </c>
      <c r="G40" s="18" t="s">
        <v>228</v>
      </c>
      <c r="H40" s="18" t="s">
        <v>100</v>
      </c>
      <c r="I40" s="18" t="s">
        <v>100</v>
      </c>
      <c r="J40" s="18" t="s">
        <v>204</v>
      </c>
      <c r="K40" s="18" t="s">
        <v>128</v>
      </c>
      <c r="L40" s="18" t="s">
        <v>129</v>
      </c>
      <c r="M40" s="18" t="s">
        <v>130</v>
      </c>
      <c r="N40" s="18" t="s">
        <v>229</v>
      </c>
    </row>
    <row r="41" customFormat="false" ht="79.5" hidden="false" customHeight="true" outlineLevel="0" collapsed="false">
      <c r="A41" s="17" t="s">
        <v>230</v>
      </c>
      <c r="B41" s="18" t="s">
        <v>52</v>
      </c>
      <c r="C41" s="18" t="s">
        <v>231</v>
      </c>
      <c r="D41" s="18" t="s">
        <v>174</v>
      </c>
      <c r="E41" s="32" t="s">
        <v>155</v>
      </c>
      <c r="F41" s="18" t="n">
        <v>2</v>
      </c>
      <c r="G41" s="18" t="s">
        <v>232</v>
      </c>
      <c r="H41" s="18" t="s">
        <v>100</v>
      </c>
      <c r="I41" s="18" t="s">
        <v>100</v>
      </c>
      <c r="J41" s="18" t="s">
        <v>204</v>
      </c>
      <c r="K41" s="18" t="s">
        <v>128</v>
      </c>
      <c r="L41" s="18" t="s">
        <v>129</v>
      </c>
      <c r="M41" s="18" t="s">
        <v>130</v>
      </c>
      <c r="N41" s="18"/>
    </row>
    <row r="42" customFormat="false" ht="79.5" hidden="false" customHeight="true" outlineLevel="0" collapsed="false">
      <c r="A42" s="17" t="s">
        <v>73</v>
      </c>
      <c r="B42" s="18" t="s">
        <v>70</v>
      </c>
      <c r="C42" s="18" t="s">
        <v>233</v>
      </c>
      <c r="D42" s="18" t="s">
        <v>174</v>
      </c>
      <c r="E42" s="32" t="s">
        <v>155</v>
      </c>
      <c r="F42" s="18" t="n">
        <v>3</v>
      </c>
      <c r="G42" s="18" t="s">
        <v>234</v>
      </c>
      <c r="H42" s="18" t="s">
        <v>100</v>
      </c>
      <c r="I42" s="18" t="s">
        <v>100</v>
      </c>
      <c r="J42" s="18" t="s">
        <v>204</v>
      </c>
      <c r="K42" s="18" t="s">
        <v>128</v>
      </c>
      <c r="L42" s="18" t="s">
        <v>129</v>
      </c>
      <c r="M42" s="18" t="s">
        <v>130</v>
      </c>
      <c r="N42" s="18"/>
    </row>
    <row r="43" customFormat="false" ht="79.5" hidden="false" customHeight="true" outlineLevel="0" collapsed="false">
      <c r="A43" s="17" t="s">
        <v>235</v>
      </c>
      <c r="B43" s="18" t="s">
        <v>52</v>
      </c>
      <c r="C43" s="18" t="s">
        <v>236</v>
      </c>
      <c r="D43" s="18" t="s">
        <v>174</v>
      </c>
      <c r="E43" s="33" t="s">
        <v>175</v>
      </c>
      <c r="F43" s="18" t="n">
        <v>13</v>
      </c>
      <c r="G43" s="18" t="s">
        <v>237</v>
      </c>
      <c r="H43" s="18" t="s">
        <v>100</v>
      </c>
      <c r="I43" s="18" t="s">
        <v>100</v>
      </c>
      <c r="J43" s="18" t="s">
        <v>157</v>
      </c>
      <c r="K43" s="18" t="s">
        <v>177</v>
      </c>
      <c r="L43" s="18" t="s">
        <v>141</v>
      </c>
      <c r="M43" s="18" t="s">
        <v>178</v>
      </c>
      <c r="N43" s="18" t="s">
        <v>238</v>
      </c>
    </row>
    <row r="44" customFormat="false" ht="30" hidden="false" customHeight="true" outlineLevel="0" collapsed="false">
      <c r="A44" s="34" t="s">
        <v>74</v>
      </c>
      <c r="B44" s="34"/>
      <c r="C44" s="34"/>
      <c r="D44" s="34"/>
      <c r="E44" s="34"/>
      <c r="F44" s="34" t="n">
        <f aca="false">SUM(F10:F43)</f>
        <v>196</v>
      </c>
      <c r="G44" s="34" t="s">
        <v>239</v>
      </c>
      <c r="H44" s="34"/>
      <c r="I44" s="34"/>
      <c r="J44" s="34"/>
      <c r="K44" s="34"/>
      <c r="L44" s="34"/>
      <c r="M44" s="34"/>
      <c r="N44" s="34"/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6" min="2" style="0" width="8.71"/>
  </cols>
  <sheetData>
    <row r="1" customFormat="false" ht="22.05" hidden="false" customHeight="false" outlineLevel="0" collapsed="false">
      <c r="A1" s="13" t="s">
        <v>240</v>
      </c>
    </row>
    <row r="2" customFormat="false" ht="15" hidden="false" customHeight="false" outlineLevel="0" collapsed="false">
      <c r="A2" s="9" t="s">
        <v>241</v>
      </c>
    </row>
    <row r="4" customFormat="false" ht="17.35" hidden="false" customHeight="false" outlineLevel="0" collapsed="false">
      <c r="A4" s="35" t="s">
        <v>242</v>
      </c>
    </row>
    <row r="5" customFormat="false" ht="15" hidden="false" customHeight="false" outlineLevel="0" collapsed="false">
      <c r="A5" s="9" t="s">
        <v>243</v>
      </c>
    </row>
    <row r="7" customFormat="false" ht="15" hidden="false" customHeight="false" outlineLevel="0" collapsed="false">
      <c r="A7" s="36" t="s">
        <v>244</v>
      </c>
    </row>
    <row r="8" customFormat="false" ht="15" hidden="false" customHeight="false" outlineLevel="0" collapsed="false">
      <c r="A8" s="36" t="s">
        <v>245</v>
      </c>
    </row>
    <row r="9" customFormat="false" ht="15" hidden="false" customHeight="false" outlineLevel="0" collapsed="false">
      <c r="A9" s="36" t="s">
        <v>246</v>
      </c>
    </row>
    <row r="10" customFormat="false" ht="15" hidden="false" customHeight="false" outlineLevel="0" collapsed="false">
      <c r="A10" s="36" t="s">
        <v>247</v>
      </c>
    </row>
    <row r="11" customFormat="false" ht="15" hidden="false" customHeight="false" outlineLevel="0" collapsed="false">
      <c r="A11" s="36" t="s">
        <v>248</v>
      </c>
    </row>
    <row r="12" customFormat="false" ht="15" hidden="false" customHeight="false" outlineLevel="0" collapsed="false">
      <c r="A12" s="36" t="s">
        <v>249</v>
      </c>
    </row>
    <row r="13" customFormat="false" ht="15" hidden="false" customHeight="false" outlineLevel="0" collapsed="false">
      <c r="A13" s="36" t="s">
        <v>250</v>
      </c>
    </row>
    <row r="14" customFormat="false" ht="15" hidden="false" customHeight="false" outlineLevel="0" collapsed="false">
      <c r="A14" s="36" t="s">
        <v>251</v>
      </c>
    </row>
    <row r="17" customFormat="false" ht="17.35" hidden="false" customHeight="false" outlineLevel="0" collapsed="false">
      <c r="A17" s="35" t="s">
        <v>252</v>
      </c>
    </row>
    <row r="18" customFormat="false" ht="15" hidden="false" customHeight="false" outlineLevel="0" collapsed="false">
      <c r="A18" s="9" t="s">
        <v>253</v>
      </c>
    </row>
    <row r="20" customFormat="false" ht="15" hidden="false" customHeight="false" outlineLevel="0" collapsed="false">
      <c r="A20" s="36" t="s">
        <v>254</v>
      </c>
    </row>
    <row r="21" customFormat="false" ht="15.75" hidden="false" customHeight="true" outlineLevel="0" collapsed="false">
      <c r="A21" s="36" t="s">
        <v>255</v>
      </c>
    </row>
    <row r="22" customFormat="false" ht="15.75" hidden="false" customHeight="true" outlineLevel="0" collapsed="false">
      <c r="A22" s="36" t="s">
        <v>256</v>
      </c>
    </row>
    <row r="23" customFormat="false" ht="15.75" hidden="false" customHeight="true" outlineLevel="0" collapsed="false">
      <c r="A23" s="36" t="s">
        <v>257</v>
      </c>
    </row>
    <row r="24" customFormat="false" ht="15.75" hidden="false" customHeight="true" outlineLevel="0" collapsed="false">
      <c r="A24" s="36" t="s">
        <v>258</v>
      </c>
    </row>
    <row r="25" customFormat="false" ht="15.75" hidden="false" customHeight="true" outlineLevel="0" collapsed="false">
      <c r="A25" s="36" t="s">
        <v>259</v>
      </c>
    </row>
    <row r="26" customFormat="false" ht="15.75" hidden="false" customHeight="true" outlineLevel="0" collapsed="false">
      <c r="A26" s="36" t="s">
        <v>260</v>
      </c>
    </row>
    <row r="27" customFormat="false" ht="15.75" hidden="false" customHeight="true" outlineLevel="0" collapsed="false">
      <c r="A27" s="36" t="s">
        <v>261</v>
      </c>
    </row>
    <row r="28" customFormat="false" ht="15.75" hidden="false" customHeight="true" outlineLevel="0" collapsed="false">
      <c r="A28" s="36" t="s">
        <v>262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6" min="5" style="0" width="8.71"/>
  </cols>
  <sheetData>
    <row r="2" customFormat="false" ht="17.35" hidden="false" customHeight="false" outlineLevel="0" collapsed="false">
      <c r="B2" s="2" t="s">
        <v>263</v>
      </c>
    </row>
    <row r="3" customFormat="false" ht="15" hidden="false" customHeight="false" outlineLevel="0" collapsed="false">
      <c r="B3" s="9" t="s">
        <v>264</v>
      </c>
    </row>
    <row r="5" customFormat="false" ht="15" hidden="false" customHeight="false" outlineLevel="0" collapsed="false">
      <c r="A5" s="14"/>
      <c r="B5" s="14" t="s">
        <v>265</v>
      </c>
      <c r="C5" s="14" t="s">
        <v>266</v>
      </c>
      <c r="D5" s="37" t="s">
        <v>267</v>
      </c>
    </row>
    <row r="6" customFormat="false" ht="30" hidden="false" customHeight="true" outlineLevel="0" collapsed="false">
      <c r="B6" s="38" t="s">
        <v>268</v>
      </c>
      <c r="C6" s="39" t="s">
        <v>269</v>
      </c>
      <c r="D6" s="30" t="s">
        <v>270</v>
      </c>
    </row>
    <row r="7" customFormat="false" ht="30" hidden="false" customHeight="true" outlineLevel="0" collapsed="false">
      <c r="B7" s="38" t="s">
        <v>271</v>
      </c>
      <c r="C7" s="39" t="s">
        <v>269</v>
      </c>
      <c r="D7" s="30" t="s">
        <v>272</v>
      </c>
    </row>
    <row r="8" customFormat="false" ht="30" hidden="false" customHeight="true" outlineLevel="0" collapsed="false">
      <c r="B8" s="38" t="s">
        <v>273</v>
      </c>
      <c r="C8" s="39" t="s">
        <v>269</v>
      </c>
      <c r="D8" s="30" t="s">
        <v>274</v>
      </c>
    </row>
    <row r="9" customFormat="false" ht="30" hidden="false" customHeight="true" outlineLevel="0" collapsed="false">
      <c r="B9" s="38" t="s">
        <v>275</v>
      </c>
      <c r="C9" s="39" t="s">
        <v>269</v>
      </c>
      <c r="D9" s="30" t="s">
        <v>276</v>
      </c>
    </row>
    <row r="10" customFormat="false" ht="30" hidden="false" customHeight="true" outlineLevel="0" collapsed="false">
      <c r="B10" s="38" t="s">
        <v>277</v>
      </c>
      <c r="C10" s="39" t="s">
        <v>269</v>
      </c>
      <c r="D10" s="30" t="s">
        <v>278</v>
      </c>
    </row>
    <row r="11" customFormat="false" ht="30" hidden="false" customHeight="true" outlineLevel="0" collapsed="false">
      <c r="B11" s="38" t="s">
        <v>279</v>
      </c>
      <c r="C11" s="39" t="s">
        <v>269</v>
      </c>
      <c r="D11" s="30" t="s">
        <v>280</v>
      </c>
    </row>
    <row r="12" customFormat="false" ht="30" hidden="false" customHeight="true" outlineLevel="0" collapsed="false">
      <c r="B12" s="38" t="s">
        <v>281</v>
      </c>
      <c r="C12" s="39" t="s">
        <v>269</v>
      </c>
      <c r="D12" s="30" t="s">
        <v>282</v>
      </c>
    </row>
    <row r="13" customFormat="false" ht="30" hidden="false" customHeight="true" outlineLevel="0" collapsed="false">
      <c r="B13" s="38" t="s">
        <v>283</v>
      </c>
      <c r="C13" s="39" t="s">
        <v>269</v>
      </c>
      <c r="D13" s="30" t="s">
        <v>284</v>
      </c>
    </row>
    <row r="14" customFormat="false" ht="30" hidden="false" customHeight="true" outlineLevel="0" collapsed="false">
      <c r="B14" s="38" t="s">
        <v>285</v>
      </c>
      <c r="C14" s="39" t="s">
        <v>269</v>
      </c>
      <c r="D14" s="30" t="s">
        <v>286</v>
      </c>
    </row>
    <row r="15" customFormat="false" ht="30" hidden="false" customHeight="true" outlineLevel="0" collapsed="false">
      <c r="B15" s="38" t="s">
        <v>287</v>
      </c>
      <c r="C15" s="39" t="s">
        <v>269</v>
      </c>
      <c r="D15" s="30" t="s">
        <v>288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2026-06-30T14:29:00Z</dcterms:created>
  <dc:creator>openpyxl</dc:creator>
  <dc:description/>
  <dc:language>en-US</dc:language>
  <cp:lastModifiedBy/>
  <dcterms:modified xsi:type="dcterms:W3CDTF">2026-06-30T14:29:19Z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